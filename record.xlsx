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yers" r:id="rId3" sheetId="1"/>
    <sheet name="SinglesMatches" r:id="rId4" sheetId="2"/>
    <sheet name="DoublesMatches" r:id="rId5" sheetId="3"/>
    <sheet name="対戦成績" r:id="rId6" sheetId="4"/>
  </sheets>
</workbook>
</file>

<file path=xl/sharedStrings.xml><?xml version="1.0" encoding="utf-8"?>
<sst xmlns="http://schemas.openxmlformats.org/spreadsheetml/2006/main" count="1422" uniqueCount="341">
  <si>
    <t>名前</t>
  </si>
  <si>
    <t>レート</t>
  </si>
  <si>
    <t>総合試合数</t>
  </si>
  <si>
    <t>総合勝</t>
  </si>
  <si>
    <t>総合敗</t>
  </si>
  <si>
    <t>総合得点</t>
  </si>
  <si>
    <t>総合失点</t>
  </si>
  <si>
    <t>総合得セット</t>
  </si>
  <si>
    <t>総合失セット</t>
  </si>
  <si>
    <t>シングルス試合数</t>
  </si>
  <si>
    <t>シングルス勝</t>
  </si>
  <si>
    <t>シングルス敗</t>
  </si>
  <si>
    <t>シングルス得点</t>
  </si>
  <si>
    <t>シングルス失点</t>
  </si>
  <si>
    <t>シングルス得セット</t>
  </si>
  <si>
    <t>シングルス失セット</t>
  </si>
  <si>
    <t>ダブルス試合数</t>
  </si>
  <si>
    <t>ダブルス勝</t>
  </si>
  <si>
    <t>ダブルス敗</t>
  </si>
  <si>
    <t>ダブルス得点</t>
  </si>
  <si>
    <t>ダブルス失点</t>
  </si>
  <si>
    <t>ダブルス得セット</t>
  </si>
  <si>
    <t>ダブルス失セット</t>
  </si>
  <si>
    <t>Alpha6000</t>
  </si>
  <si>
    <t>AndroidA</t>
  </si>
  <si>
    <t>AndroidB</t>
  </si>
  <si>
    <t>azisaba3</t>
  </si>
  <si>
    <t>Dra_goons</t>
  </si>
  <si>
    <t>east_company</t>
  </si>
  <si>
    <t>EmeraldREX91</t>
  </si>
  <si>
    <t>hachi_18</t>
  </si>
  <si>
    <t>Jtype916</t>
  </si>
  <si>
    <t>LagnaKt</t>
  </si>
  <si>
    <t>M0nJ</t>
  </si>
  <si>
    <t>namako3125</t>
  </si>
  <si>
    <t>nextbardo</t>
  </si>
  <si>
    <t>Obake_zzz</t>
  </si>
  <si>
    <t>omarupin</t>
  </si>
  <si>
    <t>Opanku</t>
  </si>
  <si>
    <t>Pen4</t>
  </si>
  <si>
    <t>Philia_Gray</t>
  </si>
  <si>
    <t>pipis_57</t>
  </si>
  <si>
    <t>rlaiy</t>
  </si>
  <si>
    <t>Rosario20</t>
  </si>
  <si>
    <t>Saitama</t>
  </si>
  <si>
    <t>sota2486</t>
  </si>
  <si>
    <t>TYPE_NOOB</t>
  </si>
  <si>
    <t>ID</t>
  </si>
  <si>
    <t>日時</t>
  </si>
  <si>
    <t>ステータス</t>
  </si>
  <si>
    <t>赤</t>
  </si>
  <si>
    <t>青</t>
  </si>
  <si>
    <t>赤セット</t>
  </si>
  <si>
    <t>青セット</t>
  </si>
  <si>
    <t>赤得点</t>
  </si>
  <si>
    <t>青得点</t>
  </si>
  <si>
    <t>セットごとのスコア</t>
  </si>
  <si>
    <t>勝者</t>
  </si>
  <si>
    <t>何点先取</t>
  </si>
  <si>
    <t>先取セット数</t>
  </si>
  <si>
    <t>デュース</t>
  </si>
  <si>
    <t>コート種類</t>
  </si>
  <si>
    <t>2026-08-29T14:02:24.699605873Z</t>
  </si>
  <si>
    <t>COMPLETED</t>
  </si>
  <si>
    <t>2-5, 1-5</t>
  </si>
  <si>
    <t>BLUE</t>
  </si>
  <si>
    <t>HARD</t>
  </si>
  <si>
    <t>2026-08-29T14:02:25.386386306Z</t>
  </si>
  <si>
    <t>3-5, 1-5</t>
  </si>
  <si>
    <t>2026-08-29T14:03:01.452237590Z</t>
  </si>
  <si>
    <t>5-3, 5-1</t>
  </si>
  <si>
    <t>RED</t>
  </si>
  <si>
    <t>2026-08-29T14:04:14.030174349Z</t>
  </si>
  <si>
    <t>5-3, 2-5, 2-5</t>
  </si>
  <si>
    <t>2026-08-29T14:05:42.649492765Z</t>
  </si>
  <si>
    <t>5-1, 5-3</t>
  </si>
  <si>
    <t>2026-08-29T14:03:45.980887686Z</t>
  </si>
  <si>
    <t>1-5, 3-5</t>
  </si>
  <si>
    <t>CLAY</t>
  </si>
  <si>
    <t>2026-08-29T14:13:17.592247641Z</t>
  </si>
  <si>
    <t>5-3, 5-4</t>
  </si>
  <si>
    <t>2026-08-29T14:12:32.779828984Z</t>
  </si>
  <si>
    <t>5-2, 3-5, 5-1</t>
  </si>
  <si>
    <t>2026-08-29T14:11:50.029661622Z</t>
  </si>
  <si>
    <t>5-0, 5-2</t>
  </si>
  <si>
    <t>2026-08-29T14:12:23.093169190Z</t>
  </si>
  <si>
    <t>2-5, 2-5</t>
  </si>
  <si>
    <t>2026-08-29T14:12:10.631330153Z</t>
  </si>
  <si>
    <t>3-5, 5-2, 2-5</t>
  </si>
  <si>
    <t>2026-08-29T14:10:48.435223917Z</t>
  </si>
  <si>
    <t>1-5, 2-5</t>
  </si>
  <si>
    <t>2026-08-29T14:18:09.379191812Z</t>
  </si>
  <si>
    <t>4-5, 5-0, 5-2</t>
  </si>
  <si>
    <t>2026-08-29T14:19:26.392620478Z</t>
  </si>
  <si>
    <t>4-5, 5-1, 5-1</t>
  </si>
  <si>
    <t>2026-08-29T14:17:02.630857884Z</t>
  </si>
  <si>
    <t>3-5, 4-5</t>
  </si>
  <si>
    <t>2026-08-29T14:19:32.589078492Z</t>
  </si>
  <si>
    <t>4-5, 5-3, 5-3</t>
  </si>
  <si>
    <t>2026-08-29T14:17:33.126465319Z</t>
  </si>
  <si>
    <t>2-5, 5-1, 5-3</t>
  </si>
  <si>
    <t>2026-08-29T14:19:08.128667168Z</t>
  </si>
  <si>
    <t>5-4, 4-5, 5-4</t>
  </si>
  <si>
    <t>2026-08-29T14:23:42.078109329Z</t>
  </si>
  <si>
    <t>2026-08-29T14:24:01.028866394Z</t>
  </si>
  <si>
    <t>5-3, 5-3</t>
  </si>
  <si>
    <t>2026-08-29T14:25:18.942601050Z</t>
  </si>
  <si>
    <t>5-4, 5-4</t>
  </si>
  <si>
    <t>2026-08-29T14:26:26.095322992Z</t>
  </si>
  <si>
    <t>1-5, 5-3, 3-5</t>
  </si>
  <si>
    <t>2026-08-29T14:26:02.727312628Z</t>
  </si>
  <si>
    <t>2026-08-29T14:24:43.528607636Z</t>
  </si>
  <si>
    <t>0-5, 2-5</t>
  </si>
  <si>
    <t>2026-08-29T14:30:51.977995225Z</t>
  </si>
  <si>
    <t>5-2, 5-1</t>
  </si>
  <si>
    <t>2026-08-29T14:33:36.708902783Z</t>
  </si>
  <si>
    <t>4-5, 5-2, 4-5</t>
  </si>
  <si>
    <t>2026-08-29T14:30:31.579803104Z</t>
  </si>
  <si>
    <t>1-5, 0-5</t>
  </si>
  <si>
    <t>2026-08-29T14:33:06.550332931Z</t>
  </si>
  <si>
    <t>5-1, 2-5, 1-5</t>
  </si>
  <si>
    <t>2026-08-29T14:32:16.279852248Z</t>
  </si>
  <si>
    <t>4-5, 1-5</t>
  </si>
  <si>
    <t>2026-08-29T14:32:36.229768051Z</t>
  </si>
  <si>
    <t>1-5, 4-5</t>
  </si>
  <si>
    <t>2026-08-29T14:47:33.312437550Z</t>
  </si>
  <si>
    <t>5-1, 2-5, 5-4</t>
  </si>
  <si>
    <t>2026-08-29T14:47:09.311088508Z</t>
  </si>
  <si>
    <t>2026-08-29T14:51:43.263697029Z</t>
  </si>
  <si>
    <t>4-5, 4-5</t>
  </si>
  <si>
    <t>2026-08-29T14:54:55.832881019Z</t>
  </si>
  <si>
    <t>3-5, 2-5</t>
  </si>
  <si>
    <t>2026-08-30T09:39:49.023095655Z</t>
  </si>
  <si>
    <t>4-6, 5-1, 5-2</t>
  </si>
  <si>
    <t>2026-08-30T09:40:03.480706369Z</t>
  </si>
  <si>
    <t>CANCELLED</t>
  </si>
  <si>
    <t>10-8</t>
  </si>
  <si>
    <t/>
  </si>
  <si>
    <t>2026-08-30T09:51:58.676984112Z</t>
  </si>
  <si>
    <t>4-6, 5-0, 2-5</t>
  </si>
  <si>
    <t>2026-08-30T09:52:24.774120191Z</t>
  </si>
  <si>
    <t>5-0, 3-5, 5-3</t>
  </si>
  <si>
    <t>2026-08-30T09:58:50.925550377Z</t>
  </si>
  <si>
    <t>7-5, 2-5, 5-2</t>
  </si>
  <si>
    <t>2026-08-30T09:57:17.676334489Z</t>
  </si>
  <si>
    <t>5-1, 2-5, 5-2</t>
  </si>
  <si>
    <t>2026-08-30T10:03:30.276130473Z</t>
  </si>
  <si>
    <t>5-2, 6-4</t>
  </si>
  <si>
    <t>2026-08-30T10:06:55.003604324Z</t>
  </si>
  <si>
    <t>2026-08-30T13:21:16.500607170Z</t>
  </si>
  <si>
    <t>4-5, 5-4, 3-5</t>
  </si>
  <si>
    <t>2026-08-31T15:18:13.373352730Z</t>
  </si>
  <si>
    <t>2-5</t>
  </si>
  <si>
    <t>2026-08-31T15:19:05.584739795Z</t>
  </si>
  <si>
    <t>5-4</t>
  </si>
  <si>
    <t>2026-08-31T15:21:02.275950320Z</t>
  </si>
  <si>
    <t>5-3</t>
  </si>
  <si>
    <t>2026-08-31T15:20:54.479391977Z</t>
  </si>
  <si>
    <t>2026-08-31T15:22:41.542343326Z</t>
  </si>
  <si>
    <t>3-5</t>
  </si>
  <si>
    <t>2026-08-31T15:22:17.748809804Z</t>
  </si>
  <si>
    <t>1-5</t>
  </si>
  <si>
    <t>2026-09-01T16:30:20.871091198Z</t>
  </si>
  <si>
    <t>2026-09-01T16:34:20.973246207Z</t>
  </si>
  <si>
    <t>2026-09-03T09:26:50.912105901Z</t>
  </si>
  <si>
    <t>5-4, 3-5, 5-3</t>
  </si>
  <si>
    <t>2026-09-03T14:03:31.963536943Z</t>
  </si>
  <si>
    <t>5-1, 5-4</t>
  </si>
  <si>
    <t>2026-09-03T14:10:22.661233497Z</t>
  </si>
  <si>
    <t>5-1, 2-5, 5-3</t>
  </si>
  <si>
    <t>2026-09-03T14:17:15.162963597Z</t>
  </si>
  <si>
    <t>5-0</t>
  </si>
  <si>
    <t>2026-09-03T14:21:07.971525623Z</t>
  </si>
  <si>
    <t>5-1</t>
  </si>
  <si>
    <t>2026-09-03T14:45:42.214060664Z</t>
  </si>
  <si>
    <t>OMNI</t>
  </si>
  <si>
    <t>2026-09-03T14:55:54.015684661Z</t>
  </si>
  <si>
    <t>2026-09-04T12:06:53.109651449Z</t>
  </si>
  <si>
    <t>4-5, 2-5</t>
  </si>
  <si>
    <t>2026-09-04T14:42:13.054246948Z</t>
  </si>
  <si>
    <t>2026-09-04T16:02:24.274253085Z</t>
  </si>
  <si>
    <t>5-2</t>
  </si>
  <si>
    <t>2026-09-04T16:04:23.768230711Z</t>
  </si>
  <si>
    <t>2026-09-04T16:38:23.367882493Z</t>
  </si>
  <si>
    <t>4-5</t>
  </si>
  <si>
    <t>2026-09-06T13:04:38.231349558Z</t>
  </si>
  <si>
    <t>2026-09-06T16:00:22.261032650Z</t>
  </si>
  <si>
    <t>11-0</t>
  </si>
  <si>
    <t>2026-09-18T12:27:44.115241245Z</t>
  </si>
  <si>
    <t>2026-09-21T13:22:05.494999609Z</t>
  </si>
  <si>
    <t>2026-09-21T13:22:21.247949424Z</t>
  </si>
  <si>
    <t>2026-09-21T13:22:37.850508980Z</t>
  </si>
  <si>
    <t>2026-09-21T13:22:44.246238429Z</t>
  </si>
  <si>
    <t>2026-09-21T13:22:42.301399979Z</t>
  </si>
  <si>
    <t>2026-09-21T13:22:53.843849168Z</t>
  </si>
  <si>
    <t>4-6</t>
  </si>
  <si>
    <t>2026-09-21T13:22:54.123931746Z</t>
  </si>
  <si>
    <t>2026-09-21T13:27:20.851857361Z</t>
  </si>
  <si>
    <t>2026-09-21T13:27:16.901121560Z</t>
  </si>
  <si>
    <t>2026-09-21T13:27:15.751781977Z</t>
  </si>
  <si>
    <t>2026-09-21T13:29:17.970159304Z</t>
  </si>
  <si>
    <t>8-6</t>
  </si>
  <si>
    <t>2026-09-21T13:27:24.248147763Z</t>
  </si>
  <si>
    <t>2026-09-21T13:27:41.153270917Z</t>
  </si>
  <si>
    <t>2026-09-21T13:27:27.296038768Z</t>
  </si>
  <si>
    <t>2026-09-21T13:32:08.547093385Z</t>
  </si>
  <si>
    <t>2026-09-21T13:31:24.746486678Z</t>
  </si>
  <si>
    <t>2026-09-21T13:33:37.528299709Z</t>
  </si>
  <si>
    <t>2026-09-21T13:31:05.398536599Z</t>
  </si>
  <si>
    <t>2026-09-21T13:31:51.046215798Z</t>
  </si>
  <si>
    <t>2026-09-21T13:31:51.848246423Z</t>
  </si>
  <si>
    <t>2026-09-21T13:31:15.651027626Z</t>
  </si>
  <si>
    <t>2026-09-21T13:35:12.547885271Z</t>
  </si>
  <si>
    <t>2026-09-21T13:35:18.656609134Z</t>
  </si>
  <si>
    <t>2026-09-21T13:35:41.928137739Z</t>
  </si>
  <si>
    <t>2026-09-21T13:35:22.247548473Z</t>
  </si>
  <si>
    <t>2026-09-21T13:35:41.557267604Z</t>
  </si>
  <si>
    <t>2026-09-21T13:34:59.904018029Z</t>
  </si>
  <si>
    <t>0-5</t>
  </si>
  <si>
    <t>2026-09-21T13:35:17.552000315Z</t>
  </si>
  <si>
    <t>2026-09-21T13:39:02.533603037Z</t>
  </si>
  <si>
    <t>2026-09-21T13:38:01.714867951Z</t>
  </si>
  <si>
    <t>2026-09-21T13:38:25.856249594Z</t>
  </si>
  <si>
    <t>2026-09-21T13:38:59.405197423Z</t>
  </si>
  <si>
    <t>6-4</t>
  </si>
  <si>
    <t>2026-09-21T13:38:01.511152195Z</t>
  </si>
  <si>
    <t>2026-09-21T13:37:53.846889308Z</t>
  </si>
  <si>
    <t>2026-09-21T13:38:04.900522589Z</t>
  </si>
  <si>
    <t>2026-09-21T13:42:35.204672788Z</t>
  </si>
  <si>
    <t>2026-09-21T13:42:24.412707705Z</t>
  </si>
  <si>
    <t>2026-09-21T13:43:08.502735057Z</t>
  </si>
  <si>
    <t>2026-09-21T13:41:34.805308540Z</t>
  </si>
  <si>
    <t>2026-09-21T13:41:32.709634937Z</t>
  </si>
  <si>
    <t>2026-09-21T13:43:23.987425221Z</t>
  </si>
  <si>
    <t>7-5</t>
  </si>
  <si>
    <t>2026-09-21T13:42:20.211271291Z</t>
  </si>
  <si>
    <t>2026-09-21T13:45:19.262556133Z</t>
  </si>
  <si>
    <t>2026-09-21T13:45:05.207862319Z</t>
  </si>
  <si>
    <t>2026-09-21T13:45:58.691929909Z</t>
  </si>
  <si>
    <t>2026-09-21T13:44:57.460815102Z</t>
  </si>
  <si>
    <t>2026-09-21T13:45:15.611036212Z</t>
  </si>
  <si>
    <t>2026-09-21T13:45:09.760337457Z</t>
  </si>
  <si>
    <t>2026-09-21T13:45:32.363220427Z</t>
  </si>
  <si>
    <t>2026-09-21T13:50:20.613342276Z</t>
  </si>
  <si>
    <t>2026-09-21T13:50:07.861580190Z</t>
  </si>
  <si>
    <t>2026-09-21T13:51:00.499147485Z</t>
  </si>
  <si>
    <t>2026-09-21T13:50:49.213510387Z</t>
  </si>
  <si>
    <t>2026-09-21T13:50:05.115327853Z</t>
  </si>
  <si>
    <t>2026-09-21T13:49:47.723495961Z</t>
  </si>
  <si>
    <t>2026-09-21T13:50:35.566262103Z</t>
  </si>
  <si>
    <t>2026-09-21T13:52:22.962179207Z</t>
  </si>
  <si>
    <t>2026-09-21T13:53:51.207542421Z</t>
  </si>
  <si>
    <t>2026-09-21T13:52:47.461315029Z</t>
  </si>
  <si>
    <t>2026-09-21T13:52:38.161888421Z</t>
  </si>
  <si>
    <t>2026-09-21T13:52:44.110534073Z</t>
  </si>
  <si>
    <t>2026-09-21T13:53:12.465116157Z</t>
  </si>
  <si>
    <t>2026-09-21T13:52:44.969160591Z</t>
  </si>
  <si>
    <t>2026-09-21T13:55:55.517923055Z</t>
  </si>
  <si>
    <t>2026-09-21T13:56:17.759881912Z</t>
  </si>
  <si>
    <t>2026-09-21T13:55:58.209140809Z</t>
  </si>
  <si>
    <t>2026-09-21T13:56:01.516580060Z</t>
  </si>
  <si>
    <t>2026-09-21T13:56:56.191960068Z</t>
  </si>
  <si>
    <t>2026-09-21T13:55:59.318496478Z</t>
  </si>
  <si>
    <t>2026-09-21T13:55:59.547262384Z</t>
  </si>
  <si>
    <t>2026-09-21T13:58:40.664207367Z</t>
  </si>
  <si>
    <t>2026-09-21T13:58:44.164978193Z</t>
  </si>
  <si>
    <t>2026-09-21T13:58:45.316949979Z</t>
  </si>
  <si>
    <t>2026-09-21T13:59:27.551366828Z</t>
  </si>
  <si>
    <t>2026-09-21T13:58:57.767376123Z</t>
  </si>
  <si>
    <t>2026-09-21T13:58:14.863352302Z</t>
  </si>
  <si>
    <t>2026-09-21T13:58:25.463118231Z</t>
  </si>
  <si>
    <t>2026-09-21T14:03:23.322000270Z</t>
  </si>
  <si>
    <t>2026-09-21T14:02:28.278615290Z</t>
  </si>
  <si>
    <t>2026-09-21T14:02:42.919097109Z</t>
  </si>
  <si>
    <t>2026-09-21T14:02:31.263193663Z</t>
  </si>
  <si>
    <t>2026-09-21T14:04:35.208221298Z</t>
  </si>
  <si>
    <t>2026-09-21T14:02:46.066929556Z</t>
  </si>
  <si>
    <t>2026-09-21T14:02:29.220372525Z</t>
  </si>
  <si>
    <t>2026-09-21T14:08:04.919401784Z</t>
  </si>
  <si>
    <t>2026-09-21T14:08:33.170081497Z</t>
  </si>
  <si>
    <t>2026-09-21T14:08:34.421377936Z</t>
  </si>
  <si>
    <t>2026-09-21T14:08:35.222312018Z</t>
  </si>
  <si>
    <t>2026-09-21T14:07:44.467913936Z</t>
  </si>
  <si>
    <t>2026-09-21T14:09:27.920179471Z</t>
  </si>
  <si>
    <t>2026-09-21T14:11:37.319152158Z</t>
  </si>
  <si>
    <t>赤A</t>
  </si>
  <si>
    <t>赤B</t>
  </si>
  <si>
    <t>青A</t>
  </si>
  <si>
    <t>青B</t>
  </si>
  <si>
    <t>2026-08-29T15:24:52.660565010Z</t>
  </si>
  <si>
    <t>5-2, 2-5, 5-2</t>
  </si>
  <si>
    <t>2026-08-29T15:24:44.703352614Z</t>
  </si>
  <si>
    <t>5-2, 2-5, 5-4</t>
  </si>
  <si>
    <t>2026-08-29T15:30:09.306015872Z</t>
  </si>
  <si>
    <t>3-5, 5-1, 5-4</t>
  </si>
  <si>
    <t>2026-08-29T15:27:59.436356972Z</t>
  </si>
  <si>
    <t>2026-08-29T15:34:07.833659589Z</t>
  </si>
  <si>
    <t>2026-08-29T15:34:40.327772157Z</t>
  </si>
  <si>
    <t>5-1, 2-5, 2-5</t>
  </si>
  <si>
    <t>2026-09-03T13:14:51.065754684Z</t>
  </si>
  <si>
    <t>2026-09-03T13:50:45.262056288Z</t>
  </si>
  <si>
    <t>5-3, 2-5, 3-5</t>
  </si>
  <si>
    <t>2026-09-03T13:57:22.657380463Z</t>
  </si>
  <si>
    <t>5-1, 5-1</t>
  </si>
  <si>
    <t>2026-09-04T15:55:05.375361903Z</t>
  </si>
  <si>
    <t>2026-09-21T12:35:34.406031977Z</t>
  </si>
  <si>
    <t>5-4, 5-0</t>
  </si>
  <si>
    <t>2026-09-21T12:36:10.176082131Z</t>
  </si>
  <si>
    <t>2026-09-21T12:34:31.690166307Z</t>
  </si>
  <si>
    <t>2026-09-21T12:42:17.199220382Z</t>
  </si>
  <si>
    <t>5-2, 3-5, 3-5</t>
  </si>
  <si>
    <t>2026-09-21T12:41:12.251286951Z</t>
  </si>
  <si>
    <t>2026-09-21T12:43:16.018701992Z</t>
  </si>
  <si>
    <t>1-5, 5-4, 5-1</t>
  </si>
  <si>
    <t>2026-09-21T12:46:49.943816691Z</t>
  </si>
  <si>
    <t>2-5, 3-5</t>
  </si>
  <si>
    <t>2026-09-21T12:50:36.764987121Z</t>
  </si>
  <si>
    <t>2026-09-21T12:48:52.341382459Z</t>
  </si>
  <si>
    <t>5-3, 1-5, 5-4</t>
  </si>
  <si>
    <t>2026-09-21T12:57:38.291759060Z</t>
  </si>
  <si>
    <t>3-5, 3-5</t>
  </si>
  <si>
    <t>2026-09-21T12:58:39.523638749Z</t>
  </si>
  <si>
    <t>5-1, 3-5, 2-5</t>
  </si>
  <si>
    <t>2026-09-21T12:56:39.045728877Z</t>
  </si>
  <si>
    <t>5-2, 5-0</t>
  </si>
  <si>
    <t>2026-09-21T13:02:44.296050649Z</t>
  </si>
  <si>
    <t>2026-09-21T13:04:53.886360161Z</t>
  </si>
  <si>
    <t>5-4, 5-2</t>
  </si>
  <si>
    <t>2026-09-21T13:06:08.360998380Z</t>
  </si>
  <si>
    <t>3-5, 5-3, 3-5</t>
  </si>
  <si>
    <t>対戦成績・ペア成績ビューア(プルダウンで選手を2人選んでください)</t>
  </si>
  <si>
    <t>選手A</t>
  </si>
  <si>
    <t>選手B</t>
  </si>
  <si>
    <t>シングルスの対戦成績(この2人が対戦した試合のみ)</t>
  </si>
  <si>
    <t>試合数</t>
  </si>
  <si>
    <t>勝利数</t>
  </si>
  <si>
    <t>セット数</t>
  </si>
  <si>
    <t>得点数</t>
  </si>
  <si>
    <t>ダブルスの対戦成績(この2人が相手チームだった試合のみ)</t>
  </si>
  <si>
    <t>ペア通算成績(この2人が同じチームだったダブルスの試合)</t>
  </si>
  <si>
    <t>勝率(%)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</si>
</sst>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n" s="0">
        <v>3033.42343</v>
      </c>
      <c r="C2" t="n" s="0">
        <v>35.0</v>
      </c>
      <c r="D2" t="n" s="0">
        <v>23.0</v>
      </c>
      <c r="E2" t="n" s="0">
        <v>12.0</v>
      </c>
      <c r="F2" t="n" s="0">
        <v>274.0</v>
      </c>
      <c r="G2" t="n" s="0">
        <v>237.0</v>
      </c>
      <c r="H2" t="n" s="0">
        <v>39.0</v>
      </c>
      <c r="I2" t="n" s="0">
        <v>27.0</v>
      </c>
      <c r="J2" t="n" s="0">
        <v>27.0</v>
      </c>
      <c r="K2" t="n" s="0">
        <v>17.0</v>
      </c>
      <c r="L2" t="n" s="0">
        <v>10.0</v>
      </c>
      <c r="M2" t="n" s="0">
        <v>192.0</v>
      </c>
      <c r="N2" t="n" s="0">
        <v>166.0</v>
      </c>
      <c r="O2" t="n" s="0">
        <v>26.0</v>
      </c>
      <c r="P2" t="n" s="0">
        <v>19.0</v>
      </c>
      <c r="Q2" t="n" s="0">
        <v>8.0</v>
      </c>
      <c r="R2" t="n" s="0">
        <v>6.0</v>
      </c>
      <c r="S2" t="n" s="0">
        <v>2.0</v>
      </c>
      <c r="T2" t="n" s="0">
        <v>82.0</v>
      </c>
      <c r="U2" t="n" s="0">
        <v>71.0</v>
      </c>
      <c r="V2" t="n" s="0">
        <v>13.0</v>
      </c>
      <c r="W2" t="n" s="0">
        <v>8.0</v>
      </c>
    </row>
    <row r="3">
      <c r="A3" t="s" s="0">
        <v>24</v>
      </c>
      <c r="B3" t="n" s="0">
        <v>3016.14275</v>
      </c>
      <c r="C3" t="n" s="0">
        <v>12.0</v>
      </c>
      <c r="D3" t="n" s="0">
        <v>7.0</v>
      </c>
      <c r="E3" t="n" s="0">
        <v>5.0</v>
      </c>
      <c r="F3" t="n" s="0">
        <v>108.0</v>
      </c>
      <c r="G3" t="n" s="0">
        <v>94.0</v>
      </c>
      <c r="H3" t="n" s="0">
        <v>15.0</v>
      </c>
      <c r="I3" t="n" s="0">
        <v>13.0</v>
      </c>
      <c r="J3" t="n" s="0">
        <v>6.0</v>
      </c>
      <c r="K3" t="n" s="0">
        <v>5.0</v>
      </c>
      <c r="L3" t="n" s="0">
        <v>1.0</v>
      </c>
      <c r="M3" t="n" s="0">
        <v>58.0</v>
      </c>
      <c r="N3" t="n" s="0">
        <v>35.0</v>
      </c>
      <c r="O3" t="n" s="0">
        <v>9.0</v>
      </c>
      <c r="P3" t="n" s="0">
        <v>4.0</v>
      </c>
      <c r="Q3" t="n" s="0">
        <v>6.0</v>
      </c>
      <c r="R3" t="n" s="0">
        <v>2.0</v>
      </c>
      <c r="S3" t="n" s="0">
        <v>4.0</v>
      </c>
      <c r="T3" t="n" s="0">
        <v>50.0</v>
      </c>
      <c r="U3" t="n" s="0">
        <v>59.0</v>
      </c>
      <c r="V3" t="n" s="0">
        <v>6.0</v>
      </c>
      <c r="W3" t="n" s="0">
        <v>9.0</v>
      </c>
    </row>
    <row r="4">
      <c r="A4" t="s" s="0">
        <v>25</v>
      </c>
      <c r="B4" t="n" s="0">
        <v>2988.95339</v>
      </c>
      <c r="C4" t="n" s="0">
        <v>18.0</v>
      </c>
      <c r="D4" t="n" s="0">
        <v>7.0</v>
      </c>
      <c r="E4" t="n" s="0">
        <v>11.0</v>
      </c>
      <c r="F4" t="n" s="0">
        <v>97.0</v>
      </c>
      <c r="G4" t="n" s="0">
        <v>114.0</v>
      </c>
      <c r="H4" t="n" s="0">
        <v>10.0</v>
      </c>
      <c r="I4" t="n" s="0">
        <v>16.0</v>
      </c>
      <c r="J4" t="n" s="0">
        <v>15.0</v>
      </c>
      <c r="K4" t="n" s="0">
        <v>7.0</v>
      </c>
      <c r="L4" t="n" s="0">
        <v>8.0</v>
      </c>
      <c r="M4" t="n" s="0">
        <v>73.0</v>
      </c>
      <c r="N4" t="n" s="0">
        <v>79.0</v>
      </c>
      <c r="O4" t="n" s="0">
        <v>8.0</v>
      </c>
      <c r="P4" t="n" s="0">
        <v>10.0</v>
      </c>
      <c r="Q4" t="n" s="0">
        <v>3.0</v>
      </c>
      <c r="R4" t="n" s="0">
        <v>0.0</v>
      </c>
      <c r="S4" t="n" s="0">
        <v>3.0</v>
      </c>
      <c r="T4" t="n" s="0">
        <v>24.0</v>
      </c>
      <c r="U4" t="n" s="0">
        <v>35.0</v>
      </c>
      <c r="V4" t="n" s="0">
        <v>2.0</v>
      </c>
      <c r="W4" t="n" s="0">
        <v>6.0</v>
      </c>
    </row>
    <row r="5">
      <c r="A5" t="s" s="0">
        <v>26</v>
      </c>
      <c r="B5" t="n" s="0">
        <v>2981.1258</v>
      </c>
      <c r="C5" t="n" s="0">
        <v>13.0</v>
      </c>
      <c r="D5" t="n" s="0">
        <v>2.0</v>
      </c>
      <c r="E5" t="n" s="0">
        <v>11.0</v>
      </c>
      <c r="F5" t="n" s="0">
        <v>37.0</v>
      </c>
      <c r="G5" t="n" s="0">
        <v>63.0</v>
      </c>
      <c r="H5" t="n" s="0">
        <v>2.0</v>
      </c>
      <c r="I5" t="n" s="0">
        <v>11.0</v>
      </c>
      <c r="J5" t="n" s="0">
        <v>13.0</v>
      </c>
      <c r="K5" t="n" s="0">
        <v>2.0</v>
      </c>
      <c r="L5" t="n" s="0">
        <v>11.0</v>
      </c>
      <c r="M5" t="n" s="0">
        <v>37.0</v>
      </c>
      <c r="N5" t="n" s="0">
        <v>63.0</v>
      </c>
      <c r="O5" t="n" s="0">
        <v>2.0</v>
      </c>
      <c r="P5" t="n" s="0">
        <v>11.0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</row>
    <row r="6">
      <c r="A6" t="s" s="0">
        <v>27</v>
      </c>
      <c r="B6" t="n" s="0">
        <v>2990.15507</v>
      </c>
      <c r="C6" t="n" s="0">
        <v>15.0</v>
      </c>
      <c r="D6" t="n" s="0">
        <v>5.0</v>
      </c>
      <c r="E6" t="n" s="0">
        <v>10.0</v>
      </c>
      <c r="F6" t="n" s="0">
        <v>52.0</v>
      </c>
      <c r="G6" t="n" s="0">
        <v>73.0</v>
      </c>
      <c r="H6" t="n" s="0">
        <v>7.0</v>
      </c>
      <c r="I6" t="n" s="0">
        <v>10.0</v>
      </c>
      <c r="J6" t="n" s="0">
        <v>13.0</v>
      </c>
      <c r="K6" t="n" s="0">
        <v>3.0</v>
      </c>
      <c r="L6" t="n" s="0">
        <v>10.0</v>
      </c>
      <c r="M6" t="n" s="0">
        <v>32.0</v>
      </c>
      <c r="N6" t="n" s="0">
        <v>61.0</v>
      </c>
      <c r="O6" t="n" s="0">
        <v>3.0</v>
      </c>
      <c r="P6" t="n" s="0">
        <v>10.0</v>
      </c>
      <c r="Q6" t="n" s="0">
        <v>2.0</v>
      </c>
      <c r="R6" t="n" s="0">
        <v>2.0</v>
      </c>
      <c r="S6" t="n" s="0">
        <v>0.0</v>
      </c>
      <c r="T6" t="n" s="0">
        <v>20.0</v>
      </c>
      <c r="U6" t="n" s="0">
        <v>12.0</v>
      </c>
      <c r="V6" t="n" s="0">
        <v>4.0</v>
      </c>
      <c r="W6" t="n" s="0">
        <v>0.0</v>
      </c>
    </row>
    <row r="7">
      <c r="A7" t="s" s="0">
        <v>28</v>
      </c>
      <c r="B7" t="n" s="0">
        <v>2992.16667</v>
      </c>
      <c r="C7" t="n" s="0">
        <v>5.0</v>
      </c>
      <c r="D7" t="n" s="0">
        <v>2.0</v>
      </c>
      <c r="E7" t="n" s="0">
        <v>3.0</v>
      </c>
      <c r="F7" t="n" s="0">
        <v>37.0</v>
      </c>
      <c r="G7" t="n" s="0">
        <v>42.0</v>
      </c>
      <c r="H7" t="n" s="0">
        <v>4.0</v>
      </c>
      <c r="I7" t="n" s="0">
        <v>7.0</v>
      </c>
      <c r="J7" t="n" s="0">
        <v>5.0</v>
      </c>
      <c r="K7" t="n" s="0">
        <v>2.0</v>
      </c>
      <c r="L7" t="n" s="0">
        <v>3.0</v>
      </c>
      <c r="M7" t="n" s="0">
        <v>37.0</v>
      </c>
      <c r="N7" t="n" s="0">
        <v>42.0</v>
      </c>
      <c r="O7" t="n" s="0">
        <v>4.0</v>
      </c>
      <c r="P7" t="n" s="0">
        <v>7.0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</row>
    <row r="8">
      <c r="A8" t="s" s="0">
        <v>29</v>
      </c>
      <c r="B8" t="n" s="0">
        <v>2996.80375</v>
      </c>
      <c r="C8" t="n" s="0">
        <v>11.0</v>
      </c>
      <c r="D8" t="n" s="0">
        <v>4.0</v>
      </c>
      <c r="E8" t="n" s="0">
        <v>7.0</v>
      </c>
      <c r="F8" t="n" s="0">
        <v>65.0</v>
      </c>
      <c r="G8" t="n" s="0">
        <v>70.0</v>
      </c>
      <c r="H8" t="n" s="0">
        <v>8.0</v>
      </c>
      <c r="I8" t="n" s="0">
        <v>10.0</v>
      </c>
      <c r="J8" t="n" s="0">
        <v>7.0</v>
      </c>
      <c r="K8" t="n" s="0">
        <v>3.0</v>
      </c>
      <c r="L8" t="n" s="0">
        <v>4.0</v>
      </c>
      <c r="M8" t="n" s="0">
        <v>43.0</v>
      </c>
      <c r="N8" t="n" s="0">
        <v>45.0</v>
      </c>
      <c r="O8" t="n" s="0">
        <v>5.0</v>
      </c>
      <c r="P8" t="n" s="0">
        <v>6.0</v>
      </c>
      <c r="Q8" t="n" s="0">
        <v>4.0</v>
      </c>
      <c r="R8" t="n" s="0">
        <v>1.0</v>
      </c>
      <c r="S8" t="n" s="0">
        <v>3.0</v>
      </c>
      <c r="T8" t="n" s="0">
        <v>22.0</v>
      </c>
      <c r="U8" t="n" s="0">
        <v>25.0</v>
      </c>
      <c r="V8" t="n" s="0">
        <v>3.0</v>
      </c>
      <c r="W8" t="n" s="0">
        <v>4.0</v>
      </c>
    </row>
    <row r="9">
      <c r="A9" t="s" s="0">
        <v>30</v>
      </c>
      <c r="B9" t="n" s="0">
        <v>2969.16241</v>
      </c>
      <c r="C9" t="n" s="0">
        <v>19.0</v>
      </c>
      <c r="D9" t="n" s="0">
        <v>3.0</v>
      </c>
      <c r="E9" t="n" s="0">
        <v>16.0</v>
      </c>
      <c r="F9" t="n" s="0">
        <v>68.0</v>
      </c>
      <c r="G9" t="n" s="0">
        <v>118.0</v>
      </c>
      <c r="H9" t="n" s="0">
        <v>5.0</v>
      </c>
      <c r="I9" t="n" s="0">
        <v>20.0</v>
      </c>
      <c r="J9" t="n" s="0">
        <v>14.0</v>
      </c>
      <c r="K9" t="n" s="0">
        <v>2.0</v>
      </c>
      <c r="L9" t="n" s="0">
        <v>12.0</v>
      </c>
      <c r="M9" t="n" s="0">
        <v>31.0</v>
      </c>
      <c r="N9" t="n" s="0">
        <v>72.0</v>
      </c>
      <c r="O9" t="n" s="0">
        <v>2.0</v>
      </c>
      <c r="P9" t="n" s="0">
        <v>12.0</v>
      </c>
      <c r="Q9" t="n" s="0">
        <v>5.0</v>
      </c>
      <c r="R9" t="n" s="0">
        <v>1.0</v>
      </c>
      <c r="S9" t="n" s="0">
        <v>4.0</v>
      </c>
      <c r="T9" t="n" s="0">
        <v>37.0</v>
      </c>
      <c r="U9" t="n" s="0">
        <v>46.0</v>
      </c>
      <c r="V9" t="n" s="0">
        <v>3.0</v>
      </c>
      <c r="W9" t="n" s="0">
        <v>8.0</v>
      </c>
    </row>
    <row r="10">
      <c r="A10" t="s" s="0">
        <v>31</v>
      </c>
      <c r="B10" t="n" s="0">
        <v>3016.61076</v>
      </c>
      <c r="C10" t="n" s="0">
        <v>25.0</v>
      </c>
      <c r="D10" t="n" s="0">
        <v>16.0</v>
      </c>
      <c r="E10" t="n" s="0">
        <v>9.0</v>
      </c>
      <c r="F10" t="n" s="0">
        <v>155.0</v>
      </c>
      <c r="G10" t="n" s="0">
        <v>122.0</v>
      </c>
      <c r="H10" t="n" s="0">
        <v>24.0</v>
      </c>
      <c r="I10" t="n" s="0">
        <v>14.0</v>
      </c>
      <c r="J10" t="n" s="0">
        <v>16.0</v>
      </c>
      <c r="K10" t="n" s="0">
        <v>7.0</v>
      </c>
      <c r="L10" t="n" s="0">
        <v>9.0</v>
      </c>
      <c r="M10" t="n" s="0">
        <v>56.0</v>
      </c>
      <c r="N10" t="n" s="0">
        <v>58.0</v>
      </c>
      <c r="O10" t="n" s="0">
        <v>7.0</v>
      </c>
      <c r="P10" t="n" s="0">
        <v>9.0</v>
      </c>
      <c r="Q10" t="n" s="0">
        <v>9.0</v>
      </c>
      <c r="R10" t="n" s="0">
        <v>9.0</v>
      </c>
      <c r="S10" t="n" s="0">
        <v>0.0</v>
      </c>
      <c r="T10" t="n" s="0">
        <v>99.0</v>
      </c>
      <c r="U10" t="n" s="0">
        <v>64.0</v>
      </c>
      <c r="V10" t="n" s="0">
        <v>17.0</v>
      </c>
      <c r="W10" t="n" s="0">
        <v>5.0</v>
      </c>
    </row>
    <row r="11">
      <c r="A11" t="s" s="0">
        <v>32</v>
      </c>
      <c r="B11" t="n" s="0">
        <v>3042.88459</v>
      </c>
      <c r="C11" t="n" s="0">
        <v>38.0</v>
      </c>
      <c r="D11" t="n" s="0">
        <v>21.0</v>
      </c>
      <c r="E11" t="n" s="0">
        <v>17.0</v>
      </c>
      <c r="F11" t="n" s="0">
        <v>267.0</v>
      </c>
      <c r="G11" t="n" s="0">
        <v>219.0</v>
      </c>
      <c r="H11" t="n" s="0">
        <v>39.0</v>
      </c>
      <c r="I11" t="n" s="0">
        <v>30.0</v>
      </c>
      <c r="J11" t="n" s="0">
        <v>26.0</v>
      </c>
      <c r="K11" t="n" s="0">
        <v>16.0</v>
      </c>
      <c r="L11" t="n" s="0">
        <v>10.0</v>
      </c>
      <c r="M11" t="n" s="0">
        <v>160.0</v>
      </c>
      <c r="N11" t="n" s="0">
        <v>126.0</v>
      </c>
      <c r="O11" t="n" s="0">
        <v>24.0</v>
      </c>
      <c r="P11" t="n" s="0">
        <v>17.0</v>
      </c>
      <c r="Q11" t="n" s="0">
        <v>12.0</v>
      </c>
      <c r="R11" t="n" s="0">
        <v>5.0</v>
      </c>
      <c r="S11" t="n" s="0">
        <v>7.0</v>
      </c>
      <c r="T11" t="n" s="0">
        <v>107.0</v>
      </c>
      <c r="U11" t="n" s="0">
        <v>93.0</v>
      </c>
      <c r="V11" t="n" s="0">
        <v>15.0</v>
      </c>
      <c r="W11" t="n" s="0">
        <v>13.0</v>
      </c>
    </row>
    <row r="12">
      <c r="A12" t="s" s="0">
        <v>33</v>
      </c>
      <c r="B12" t="n" s="0">
        <v>2989.58759</v>
      </c>
      <c r="C12" t="n" s="0">
        <v>26.0</v>
      </c>
      <c r="D12" t="n" s="0">
        <v>10.0</v>
      </c>
      <c r="E12" t="n" s="0">
        <v>16.0</v>
      </c>
      <c r="F12" t="n" s="0">
        <v>172.0</v>
      </c>
      <c r="G12" t="n" s="0">
        <v>185.0</v>
      </c>
      <c r="H12" t="n" s="0">
        <v>21.0</v>
      </c>
      <c r="I12" t="n" s="0">
        <v>25.0</v>
      </c>
      <c r="J12" t="n" s="0">
        <v>18.0</v>
      </c>
      <c r="K12" t="n" s="0">
        <v>7.0</v>
      </c>
      <c r="L12" t="n" s="0">
        <v>11.0</v>
      </c>
      <c r="M12" t="n" s="0">
        <v>91.0</v>
      </c>
      <c r="N12" t="n" s="0">
        <v>113.0</v>
      </c>
      <c r="O12" t="n" s="0">
        <v>10.0</v>
      </c>
      <c r="P12" t="n" s="0">
        <v>15.0</v>
      </c>
      <c r="Q12" t="n" s="0">
        <v>8.0</v>
      </c>
      <c r="R12" t="n" s="0">
        <v>3.0</v>
      </c>
      <c r="S12" t="n" s="0">
        <v>5.0</v>
      </c>
      <c r="T12" t="n" s="0">
        <v>81.0</v>
      </c>
      <c r="U12" t="n" s="0">
        <v>72.0</v>
      </c>
      <c r="V12" t="n" s="0">
        <v>11.0</v>
      </c>
      <c r="W12" t="n" s="0">
        <v>10.0</v>
      </c>
    </row>
    <row r="13">
      <c r="A13" t="s" s="0">
        <v>34</v>
      </c>
      <c r="B13" t="n" s="0">
        <v>2999.75</v>
      </c>
      <c r="C13" t="n" s="0">
        <v>2.0</v>
      </c>
      <c r="D13" t="n" s="0">
        <v>1.0</v>
      </c>
      <c r="E13" t="n" s="0">
        <v>1.0</v>
      </c>
      <c r="F13" t="n" s="0">
        <v>6.0</v>
      </c>
      <c r="G13" t="n" s="0">
        <v>7.0</v>
      </c>
      <c r="H13" t="n" s="0">
        <v>1.0</v>
      </c>
      <c r="I13" t="n" s="0">
        <v>1.0</v>
      </c>
      <c r="J13" t="n" s="0">
        <v>2.0</v>
      </c>
      <c r="K13" t="n" s="0">
        <v>1.0</v>
      </c>
      <c r="L13" t="n" s="0">
        <v>1.0</v>
      </c>
      <c r="M13" t="n" s="0">
        <v>6.0</v>
      </c>
      <c r="N13" t="n" s="0">
        <v>7.0</v>
      </c>
      <c r="O13" t="n" s="0">
        <v>1.0</v>
      </c>
      <c r="P13" t="n" s="0">
        <v>1.0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</row>
    <row r="14">
      <c r="A14" t="s" s="0">
        <v>35</v>
      </c>
      <c r="B14" t="n" s="0">
        <v>2992.875</v>
      </c>
      <c r="C14" t="n" s="0">
        <v>6.0</v>
      </c>
      <c r="D14" t="n" s="0">
        <v>2.0</v>
      </c>
      <c r="E14" t="n" s="0">
        <v>4.0</v>
      </c>
      <c r="F14" t="n" s="0">
        <v>34.0</v>
      </c>
      <c r="G14" t="n" s="0">
        <v>53.0</v>
      </c>
      <c r="H14" t="n" s="0">
        <v>3.0</v>
      </c>
      <c r="I14" t="n" s="0">
        <v>9.0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6.0</v>
      </c>
      <c r="R14" t="n" s="0">
        <v>2.0</v>
      </c>
      <c r="S14" t="n" s="0">
        <v>4.0</v>
      </c>
      <c r="T14" t="n" s="0">
        <v>34.0</v>
      </c>
      <c r="U14" t="n" s="0">
        <v>53.0</v>
      </c>
      <c r="V14" t="n" s="0">
        <v>3.0</v>
      </c>
      <c r="W14" t="n" s="0">
        <v>9.0</v>
      </c>
    </row>
    <row r="15">
      <c r="A15" t="s" s="0">
        <v>36</v>
      </c>
      <c r="B15" t="n" s="0">
        <v>2989.91666</v>
      </c>
      <c r="C15" t="n" s="0">
        <v>5.0</v>
      </c>
      <c r="D15" t="n" s="0">
        <v>1.0</v>
      </c>
      <c r="E15" t="n" s="0">
        <v>4.0</v>
      </c>
      <c r="F15" t="n" s="0">
        <v>33.0</v>
      </c>
      <c r="G15" t="n" s="0">
        <v>51.0</v>
      </c>
      <c r="H15" t="n" s="0">
        <v>4.0</v>
      </c>
      <c r="I15" t="n" s="0">
        <v>8.0</v>
      </c>
      <c r="J15" t="n" s="0">
        <v>5.0</v>
      </c>
      <c r="K15" t="n" s="0">
        <v>1.0</v>
      </c>
      <c r="L15" t="n" s="0">
        <v>4.0</v>
      </c>
      <c r="M15" t="n" s="0">
        <v>33.0</v>
      </c>
      <c r="N15" t="n" s="0">
        <v>51.0</v>
      </c>
      <c r="O15" t="n" s="0">
        <v>4.0</v>
      </c>
      <c r="P15" t="n" s="0">
        <v>8.0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</row>
    <row r="16">
      <c r="A16" t="s" s="0">
        <v>37</v>
      </c>
      <c r="B16" t="n" s="0">
        <v>3004.74556</v>
      </c>
      <c r="C16" t="n" s="0">
        <v>23.0</v>
      </c>
      <c r="D16" t="n" s="0">
        <v>9.0</v>
      </c>
      <c r="E16" t="n" s="0">
        <v>14.0</v>
      </c>
      <c r="F16" t="n" s="0">
        <v>136.0</v>
      </c>
      <c r="G16" t="n" s="0">
        <v>141.0</v>
      </c>
      <c r="H16" t="n" s="0">
        <v>18.0</v>
      </c>
      <c r="I16" t="n" s="0">
        <v>20.0</v>
      </c>
      <c r="J16" t="n" s="0">
        <v>18.0</v>
      </c>
      <c r="K16" t="n" s="0">
        <v>6.0</v>
      </c>
      <c r="L16" t="n" s="0">
        <v>12.0</v>
      </c>
      <c r="M16" t="n" s="0">
        <v>89.0</v>
      </c>
      <c r="N16" t="n" s="0">
        <v>95.0</v>
      </c>
      <c r="O16" t="n" s="0">
        <v>11.0</v>
      </c>
      <c r="P16" t="n" s="0">
        <v>14.0</v>
      </c>
      <c r="Q16" t="n" s="0">
        <v>5.0</v>
      </c>
      <c r="R16" t="n" s="0">
        <v>3.0</v>
      </c>
      <c r="S16" t="n" s="0">
        <v>2.0</v>
      </c>
      <c r="T16" t="n" s="0">
        <v>47.0</v>
      </c>
      <c r="U16" t="n" s="0">
        <v>46.0</v>
      </c>
      <c r="V16" t="n" s="0">
        <v>7.0</v>
      </c>
      <c r="W16" t="n" s="0">
        <v>6.0</v>
      </c>
    </row>
    <row r="17">
      <c r="A17" t="s" s="0">
        <v>38</v>
      </c>
      <c r="B17" t="n" s="0">
        <v>3010.99281</v>
      </c>
      <c r="C17" t="n" s="0">
        <v>15.0</v>
      </c>
      <c r="D17" t="n" s="0">
        <v>9.0</v>
      </c>
      <c r="E17" t="n" s="0">
        <v>6.0</v>
      </c>
      <c r="F17" t="n" s="0">
        <v>72.0</v>
      </c>
      <c r="G17" t="n" s="0">
        <v>63.0</v>
      </c>
      <c r="H17" t="n" s="0">
        <v>11.0</v>
      </c>
      <c r="I17" t="n" s="0">
        <v>6.0</v>
      </c>
      <c r="J17" t="n" s="0">
        <v>13.0</v>
      </c>
      <c r="K17" t="n" s="0">
        <v>7.0</v>
      </c>
      <c r="L17" t="n" s="0">
        <v>6.0</v>
      </c>
      <c r="M17" t="n" s="0">
        <v>52.0</v>
      </c>
      <c r="N17" t="n" s="0">
        <v>51.0</v>
      </c>
      <c r="O17" t="n" s="0">
        <v>7.0</v>
      </c>
      <c r="P17" t="n" s="0">
        <v>6.0</v>
      </c>
      <c r="Q17" t="n" s="0">
        <v>2.0</v>
      </c>
      <c r="R17" t="n" s="0">
        <v>2.0</v>
      </c>
      <c r="S17" t="n" s="0">
        <v>0.0</v>
      </c>
      <c r="T17" t="n" s="0">
        <v>20.0</v>
      </c>
      <c r="U17" t="n" s="0">
        <v>12.0</v>
      </c>
      <c r="V17" t="n" s="0">
        <v>4.0</v>
      </c>
      <c r="W17" t="n" s="0">
        <v>0.0</v>
      </c>
    </row>
    <row r="18">
      <c r="A18" t="s" s="0">
        <v>39</v>
      </c>
      <c r="B18" t="n" s="0">
        <v>3024.02404</v>
      </c>
      <c r="C18" t="n" s="0">
        <v>26.0</v>
      </c>
      <c r="D18" t="n" s="0">
        <v>15.0</v>
      </c>
      <c r="E18" t="n" s="0">
        <v>11.0</v>
      </c>
      <c r="F18" t="n" s="0">
        <v>137.0</v>
      </c>
      <c r="G18" t="n" s="0">
        <v>130.0</v>
      </c>
      <c r="H18" t="n" s="0">
        <v>20.0</v>
      </c>
      <c r="I18" t="n" s="0">
        <v>18.0</v>
      </c>
      <c r="J18" t="n" s="0">
        <v>23.0</v>
      </c>
      <c r="K18" t="n" s="0">
        <v>14.0</v>
      </c>
      <c r="L18" t="n" s="0">
        <v>9.0</v>
      </c>
      <c r="M18" t="n" s="0">
        <v>121.0</v>
      </c>
      <c r="N18" t="n" s="0">
        <v>105.0</v>
      </c>
      <c r="O18" t="n" s="0">
        <v>18.0</v>
      </c>
      <c r="P18" t="n" s="0">
        <v>14.0</v>
      </c>
      <c r="Q18" t="n" s="0">
        <v>3.0</v>
      </c>
      <c r="R18" t="n" s="0">
        <v>1.0</v>
      </c>
      <c r="S18" t="n" s="0">
        <v>2.0</v>
      </c>
      <c r="T18" t="n" s="0">
        <v>16.0</v>
      </c>
      <c r="U18" t="n" s="0">
        <v>25.0</v>
      </c>
      <c r="V18" t="n" s="0">
        <v>2.0</v>
      </c>
      <c r="W18" t="n" s="0">
        <v>4.0</v>
      </c>
    </row>
    <row r="19">
      <c r="A19" t="s" s="0">
        <v>40</v>
      </c>
      <c r="B19" t="n" s="0">
        <v>2991.16667</v>
      </c>
      <c r="C19" t="n" s="0">
        <v>5.0</v>
      </c>
      <c r="D19" t="n" s="0">
        <v>2.0</v>
      </c>
      <c r="E19" t="n" s="0">
        <v>3.0</v>
      </c>
      <c r="F19" t="n" s="0">
        <v>34.0</v>
      </c>
      <c r="G19" t="n" s="0">
        <v>44.0</v>
      </c>
      <c r="H19" t="n" s="0">
        <v>4.0</v>
      </c>
      <c r="I19" t="n" s="0">
        <v>7.0</v>
      </c>
      <c r="J19" t="n" s="0">
        <v>5.0</v>
      </c>
      <c r="K19" t="n" s="0">
        <v>2.0</v>
      </c>
      <c r="L19" t="n" s="0">
        <v>3.0</v>
      </c>
      <c r="M19" t="n" s="0">
        <v>34.0</v>
      </c>
      <c r="N19" t="n" s="0">
        <v>44.0</v>
      </c>
      <c r="O19" t="n" s="0">
        <v>4.0</v>
      </c>
      <c r="P19" t="n" s="0">
        <v>7.0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</row>
    <row r="20">
      <c r="A20" t="s" s="0">
        <v>41</v>
      </c>
      <c r="B20" t="n" s="0">
        <v>2987.46007</v>
      </c>
      <c r="C20" t="n" s="0">
        <v>28.0</v>
      </c>
      <c r="D20" t="n" s="0">
        <v>12.0</v>
      </c>
      <c r="E20" t="n" s="0">
        <v>16.0</v>
      </c>
      <c r="F20" t="n" s="0">
        <v>171.0</v>
      </c>
      <c r="G20" t="n" s="0">
        <v>203.0</v>
      </c>
      <c r="H20" t="n" s="0">
        <v>21.0</v>
      </c>
      <c r="I20" t="n" s="0">
        <v>30.0</v>
      </c>
      <c r="J20" t="n" s="0">
        <v>20.0</v>
      </c>
      <c r="K20" t="n" s="0">
        <v>8.0</v>
      </c>
      <c r="L20" t="n" s="0">
        <v>12.0</v>
      </c>
      <c r="M20" t="n" s="0">
        <v>101.0</v>
      </c>
      <c r="N20" t="n" s="0">
        <v>126.0</v>
      </c>
      <c r="O20" t="n" s="0">
        <v>11.0</v>
      </c>
      <c r="P20" t="n" s="0">
        <v>19.0</v>
      </c>
      <c r="Q20" t="n" s="0">
        <v>8.0</v>
      </c>
      <c r="R20" t="n" s="0">
        <v>4.0</v>
      </c>
      <c r="S20" t="n" s="0">
        <v>4.0</v>
      </c>
      <c r="T20" t="n" s="0">
        <v>70.0</v>
      </c>
      <c r="U20" t="n" s="0">
        <v>77.0</v>
      </c>
      <c r="V20" t="n" s="0">
        <v>10.0</v>
      </c>
      <c r="W20" t="n" s="0">
        <v>11.0</v>
      </c>
    </row>
    <row r="21">
      <c r="A21" t="s" s="0">
        <v>42</v>
      </c>
      <c r="B21" t="n" s="0">
        <v>3027.76676</v>
      </c>
      <c r="C21" t="n" s="0">
        <v>18.0</v>
      </c>
      <c r="D21" t="n" s="0">
        <v>11.0</v>
      </c>
      <c r="E21" t="n" s="0">
        <v>7.0</v>
      </c>
      <c r="F21" t="n" s="0">
        <v>154.0</v>
      </c>
      <c r="G21" t="n" s="0">
        <v>137.0</v>
      </c>
      <c r="H21" t="n" s="0">
        <v>22.0</v>
      </c>
      <c r="I21" t="n" s="0">
        <v>17.0</v>
      </c>
      <c r="J21" t="n" s="0">
        <v>10.0</v>
      </c>
      <c r="K21" t="n" s="0">
        <v>8.0</v>
      </c>
      <c r="L21" t="n" s="0">
        <v>2.0</v>
      </c>
      <c r="M21" t="n" s="0">
        <v>91.0</v>
      </c>
      <c r="N21" t="n" s="0">
        <v>67.0</v>
      </c>
      <c r="O21" t="n" s="0">
        <v>15.0</v>
      </c>
      <c r="P21" t="n" s="0">
        <v>6.0</v>
      </c>
      <c r="Q21" t="n" s="0">
        <v>8.0</v>
      </c>
      <c r="R21" t="n" s="0">
        <v>3.0</v>
      </c>
      <c r="S21" t="n" s="0">
        <v>5.0</v>
      </c>
      <c r="T21" t="n" s="0">
        <v>63.0</v>
      </c>
      <c r="U21" t="n" s="0">
        <v>70.0</v>
      </c>
      <c r="V21" t="n" s="0">
        <v>7.0</v>
      </c>
      <c r="W21" t="n" s="0">
        <v>11.0</v>
      </c>
    </row>
    <row r="22">
      <c r="A22" t="s" s="0">
        <v>43</v>
      </c>
      <c r="B22" t="n" s="0">
        <v>2983.0</v>
      </c>
      <c r="C22" t="n" s="0">
        <v>3.0</v>
      </c>
      <c r="D22" t="n" s="0">
        <v>0.0</v>
      </c>
      <c r="E22" t="n" s="0">
        <v>3.0</v>
      </c>
      <c r="F22" t="n" s="0">
        <v>13.0</v>
      </c>
      <c r="G22" t="n" s="0">
        <v>34.0</v>
      </c>
      <c r="H22" t="n" s="0">
        <v>1.0</v>
      </c>
      <c r="I22" t="n" s="0">
        <v>6.0</v>
      </c>
      <c r="J22" t="n" s="0">
        <v>3.0</v>
      </c>
      <c r="K22" t="n" s="0">
        <v>0.0</v>
      </c>
      <c r="L22" t="n" s="0">
        <v>3.0</v>
      </c>
      <c r="M22" t="n" s="0">
        <v>13.0</v>
      </c>
      <c r="N22" t="n" s="0">
        <v>34.0</v>
      </c>
      <c r="O22" t="n" s="0">
        <v>1.0</v>
      </c>
      <c r="P22" t="n" s="0">
        <v>6.0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</row>
    <row r="23">
      <c r="A23" t="s" s="0">
        <v>44</v>
      </c>
      <c r="B23" t="n" s="0">
        <v>3009.25</v>
      </c>
      <c r="C23" t="n" s="0">
        <v>3.0</v>
      </c>
      <c r="D23" t="n" s="0">
        <v>3.0</v>
      </c>
      <c r="E23" t="n" s="0">
        <v>0.0</v>
      </c>
      <c r="F23" t="n" s="0">
        <v>21.0</v>
      </c>
      <c r="G23" t="n" s="0">
        <v>5.0</v>
      </c>
      <c r="H23" t="n" s="0">
        <v>3.0</v>
      </c>
      <c r="I23" t="n" s="0">
        <v>0.0</v>
      </c>
      <c r="J23" t="n" s="0">
        <v>3.0</v>
      </c>
      <c r="K23" t="n" s="0">
        <v>3.0</v>
      </c>
      <c r="L23" t="n" s="0">
        <v>0.0</v>
      </c>
      <c r="M23" t="n" s="0">
        <v>21.0</v>
      </c>
      <c r="N23" t="n" s="0">
        <v>5.0</v>
      </c>
      <c r="O23" t="n" s="0">
        <v>3.0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</row>
    <row r="24">
      <c r="A24" t="s" s="0">
        <v>45</v>
      </c>
      <c r="B24" t="n" s="0">
        <v>3072.628</v>
      </c>
      <c r="C24" t="n" s="0">
        <v>37.0</v>
      </c>
      <c r="D24" t="n" s="0">
        <v>31.0</v>
      </c>
      <c r="E24" t="n" s="0">
        <v>6.0</v>
      </c>
      <c r="F24" t="n" s="0">
        <v>284.0</v>
      </c>
      <c r="G24" t="n" s="0">
        <v>189.0</v>
      </c>
      <c r="H24" t="n" s="0">
        <v>48.0</v>
      </c>
      <c r="I24" t="n" s="0">
        <v>17.0</v>
      </c>
      <c r="J24" t="n" s="0">
        <v>31.0</v>
      </c>
      <c r="K24" t="n" s="0">
        <v>26.0</v>
      </c>
      <c r="L24" t="n" s="0">
        <v>5.0</v>
      </c>
      <c r="M24" t="n" s="0">
        <v>229.0</v>
      </c>
      <c r="N24" t="n" s="0">
        <v>145.0</v>
      </c>
      <c r="O24" t="n" s="0">
        <v>39.0</v>
      </c>
      <c r="P24" t="n" s="0">
        <v>12.0</v>
      </c>
      <c r="Q24" t="n" s="0">
        <v>6.0</v>
      </c>
      <c r="R24" t="n" s="0">
        <v>5.0</v>
      </c>
      <c r="S24" t="n" s="0">
        <v>1.0</v>
      </c>
      <c r="T24" t="n" s="0">
        <v>55.0</v>
      </c>
      <c r="U24" t="n" s="0">
        <v>44.0</v>
      </c>
      <c r="V24" t="n" s="0">
        <v>9.0</v>
      </c>
      <c r="W24" t="n" s="0">
        <v>5.0</v>
      </c>
    </row>
    <row r="25">
      <c r="A25" t="s" s="0">
        <v>46</v>
      </c>
      <c r="B25" t="n" s="0">
        <v>2991.42883</v>
      </c>
      <c r="C25" t="n" s="0">
        <v>18.0</v>
      </c>
      <c r="D25" t="n" s="0">
        <v>7.0</v>
      </c>
      <c r="E25" t="n" s="0">
        <v>11.0</v>
      </c>
      <c r="F25" t="n" s="0">
        <v>75.0</v>
      </c>
      <c r="G25" t="n" s="0">
        <v>108.0</v>
      </c>
      <c r="H25" t="n" s="0">
        <v>8.0</v>
      </c>
      <c r="I25" t="n" s="0">
        <v>16.0</v>
      </c>
      <c r="J25" t="n" s="0">
        <v>13.0</v>
      </c>
      <c r="K25" t="n" s="0">
        <v>6.0</v>
      </c>
      <c r="L25" t="n" s="0">
        <v>7.0</v>
      </c>
      <c r="M25" t="n" s="0">
        <v>46.0</v>
      </c>
      <c r="N25" t="n" s="0">
        <v>56.0</v>
      </c>
      <c r="O25" t="n" s="0">
        <v>6.0</v>
      </c>
      <c r="P25" t="n" s="0">
        <v>7.0</v>
      </c>
      <c r="Q25" t="n" s="0">
        <v>5.0</v>
      </c>
      <c r="R25" t="n" s="0">
        <v>1.0</v>
      </c>
      <c r="S25" t="n" s="0">
        <v>4.0</v>
      </c>
      <c r="T25" t="n" s="0">
        <v>29.0</v>
      </c>
      <c r="U25" t="n" s="0">
        <v>52.0</v>
      </c>
      <c r="V25" t="n" s="0">
        <v>2.0</v>
      </c>
      <c r="W25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5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</row>
    <row r="2">
      <c r="A2" t="n" s="0">
        <v>1.0</v>
      </c>
      <c r="B2" t="s" s="0">
        <v>62</v>
      </c>
      <c r="C2" t="s" s="0">
        <v>63</v>
      </c>
      <c r="D2" t="s" s="0">
        <v>40</v>
      </c>
      <c r="E2" t="s" s="0">
        <v>23</v>
      </c>
      <c r="F2" t="n" s="0">
        <v>0.0</v>
      </c>
      <c r="G2" t="n" s="0">
        <v>2.0</v>
      </c>
      <c r="H2" t="n" s="0">
        <v>3.0</v>
      </c>
      <c r="I2" t="n" s="0">
        <v>10.0</v>
      </c>
      <c r="J2" t="s" s="0">
        <v>64</v>
      </c>
      <c r="K2" t="s" s="0">
        <v>65</v>
      </c>
      <c r="L2" t="n" s="0">
        <v>5.0</v>
      </c>
      <c r="M2" t="n" s="0">
        <v>2.0</v>
      </c>
      <c r="N2" t="b" s="0">
        <v>0</v>
      </c>
      <c r="O2" t="s" s="0">
        <v>66</v>
      </c>
    </row>
    <row r="3">
      <c r="A3" t="n" s="0">
        <v>2.0</v>
      </c>
      <c r="B3" t="s" s="0">
        <v>67</v>
      </c>
      <c r="C3" t="s" s="0">
        <v>63</v>
      </c>
      <c r="D3" t="s" s="0">
        <v>41</v>
      </c>
      <c r="E3" t="s" s="0">
        <v>42</v>
      </c>
      <c r="F3" t="n" s="0">
        <v>0.0</v>
      </c>
      <c r="G3" t="n" s="0">
        <v>2.0</v>
      </c>
      <c r="H3" t="n" s="0">
        <v>4.0</v>
      </c>
      <c r="I3" t="n" s="0">
        <v>10.0</v>
      </c>
      <c r="J3" t="s" s="0">
        <v>68</v>
      </c>
      <c r="K3" t="s" s="0">
        <v>65</v>
      </c>
      <c r="L3" t="n" s="0">
        <v>5.0</v>
      </c>
      <c r="M3" t="n" s="0">
        <v>2.0</v>
      </c>
      <c r="N3" t="b" s="0">
        <v>0</v>
      </c>
      <c r="O3" t="s" s="0">
        <v>66</v>
      </c>
    </row>
    <row r="4">
      <c r="A4" t="n" s="0">
        <v>3.0</v>
      </c>
      <c r="B4" t="s" s="0">
        <v>69</v>
      </c>
      <c r="C4" t="s" s="0">
        <v>63</v>
      </c>
      <c r="D4" t="s" s="0">
        <v>37</v>
      </c>
      <c r="E4" t="s" s="0">
        <v>33</v>
      </c>
      <c r="F4" t="n" s="0">
        <v>2.0</v>
      </c>
      <c r="G4" t="n" s="0">
        <v>0.0</v>
      </c>
      <c r="H4" t="n" s="0">
        <v>10.0</v>
      </c>
      <c r="I4" t="n" s="0">
        <v>4.0</v>
      </c>
      <c r="J4" t="s" s="0">
        <v>70</v>
      </c>
      <c r="K4" t="s" s="0">
        <v>71</v>
      </c>
      <c r="L4" t="n" s="0">
        <v>5.0</v>
      </c>
      <c r="M4" t="n" s="0">
        <v>2.0</v>
      </c>
      <c r="N4" t="b" s="0">
        <v>0</v>
      </c>
      <c r="O4" t="s" s="0">
        <v>66</v>
      </c>
    </row>
    <row r="5">
      <c r="A5" t="n" s="0">
        <v>4.0</v>
      </c>
      <c r="B5" t="s" s="0">
        <v>72</v>
      </c>
      <c r="C5" t="s" s="0">
        <v>63</v>
      </c>
      <c r="D5" t="s" s="0">
        <v>32</v>
      </c>
      <c r="E5" t="s" s="0">
        <v>24</v>
      </c>
      <c r="F5" t="n" s="0">
        <v>1.0</v>
      </c>
      <c r="G5" t="n" s="0">
        <v>2.0</v>
      </c>
      <c r="H5" t="n" s="0">
        <v>9.0</v>
      </c>
      <c r="I5" t="n" s="0">
        <v>13.0</v>
      </c>
      <c r="J5" t="s" s="0">
        <v>73</v>
      </c>
      <c r="K5" t="s" s="0">
        <v>65</v>
      </c>
      <c r="L5" t="n" s="0">
        <v>5.0</v>
      </c>
      <c r="M5" t="n" s="0">
        <v>2.0</v>
      </c>
      <c r="N5" t="b" s="0">
        <v>0</v>
      </c>
      <c r="O5" t="s" s="0">
        <v>66</v>
      </c>
    </row>
    <row r="6">
      <c r="A6" t="n" s="0">
        <v>5.0</v>
      </c>
      <c r="B6" t="s" s="0">
        <v>74</v>
      </c>
      <c r="C6" t="s" s="0">
        <v>63</v>
      </c>
      <c r="D6" t="s" s="0">
        <v>45</v>
      </c>
      <c r="E6" t="s" s="0">
        <v>28</v>
      </c>
      <c r="F6" t="n" s="0">
        <v>2.0</v>
      </c>
      <c r="G6" t="n" s="0">
        <v>0.0</v>
      </c>
      <c r="H6" t="n" s="0">
        <v>10.0</v>
      </c>
      <c r="I6" t="n" s="0">
        <v>4.0</v>
      </c>
      <c r="J6" t="s" s="0">
        <v>75</v>
      </c>
      <c r="K6" t="s" s="0">
        <v>71</v>
      </c>
      <c r="L6" t="n" s="0">
        <v>5.0</v>
      </c>
      <c r="M6" t="n" s="0">
        <v>2.0</v>
      </c>
      <c r="N6" t="b" s="0">
        <v>0</v>
      </c>
      <c r="O6" t="s" s="0">
        <v>66</v>
      </c>
    </row>
    <row r="7">
      <c r="A7" t="n" s="0">
        <v>6.0</v>
      </c>
      <c r="B7" t="s" s="0">
        <v>76</v>
      </c>
      <c r="C7" t="s" s="0">
        <v>63</v>
      </c>
      <c r="D7" t="s" s="0">
        <v>43</v>
      </c>
      <c r="E7" t="s" s="0">
        <v>36</v>
      </c>
      <c r="F7" t="n" s="0">
        <v>0.0</v>
      </c>
      <c r="G7" t="n" s="0">
        <v>2.0</v>
      </c>
      <c r="H7" t="n" s="0">
        <v>4.0</v>
      </c>
      <c r="I7" t="n" s="0">
        <v>10.0</v>
      </c>
      <c r="J7" t="s" s="0">
        <v>77</v>
      </c>
      <c r="K7" t="s" s="0">
        <v>65</v>
      </c>
      <c r="L7" t="n" s="0">
        <v>5.0</v>
      </c>
      <c r="M7" t="n" s="0">
        <v>2.0</v>
      </c>
      <c r="N7" t="b" s="0">
        <v>0</v>
      </c>
      <c r="O7" t="s" s="0">
        <v>78</v>
      </c>
    </row>
    <row r="8">
      <c r="A8" t="n" s="0">
        <v>7.0</v>
      </c>
      <c r="B8" t="s" s="0">
        <v>79</v>
      </c>
      <c r="C8" t="s" s="0">
        <v>63</v>
      </c>
      <c r="D8" t="s" s="0">
        <v>32</v>
      </c>
      <c r="E8" t="s" s="0">
        <v>28</v>
      </c>
      <c r="F8" t="n" s="0">
        <v>2.0</v>
      </c>
      <c r="G8" t="n" s="0">
        <v>0.0</v>
      </c>
      <c r="H8" t="n" s="0">
        <v>10.0</v>
      </c>
      <c r="I8" t="n" s="0">
        <v>7.0</v>
      </c>
      <c r="J8" t="s" s="0">
        <v>80</v>
      </c>
      <c r="K8" t="s" s="0">
        <v>71</v>
      </c>
      <c r="L8" t="n" s="0">
        <v>5.0</v>
      </c>
      <c r="M8" t="n" s="0">
        <v>2.0</v>
      </c>
      <c r="N8" t="b" s="0">
        <v>0</v>
      </c>
      <c r="O8" t="s" s="0">
        <v>66</v>
      </c>
    </row>
    <row r="9">
      <c r="A9" t="n" s="0">
        <v>8.0</v>
      </c>
      <c r="B9" t="s" s="0">
        <v>81</v>
      </c>
      <c r="C9" t="s" s="0">
        <v>63</v>
      </c>
      <c r="D9" t="s" s="0">
        <v>24</v>
      </c>
      <c r="E9" t="s" s="0">
        <v>36</v>
      </c>
      <c r="F9" t="n" s="0">
        <v>2.0</v>
      </c>
      <c r="G9" t="n" s="0">
        <v>1.0</v>
      </c>
      <c r="H9" t="n" s="0">
        <v>13.0</v>
      </c>
      <c r="I9" t="n" s="0">
        <v>8.0</v>
      </c>
      <c r="J9" t="s" s="0">
        <v>82</v>
      </c>
      <c r="K9" t="s" s="0">
        <v>71</v>
      </c>
      <c r="L9" t="n" s="0">
        <v>5.0</v>
      </c>
      <c r="M9" t="n" s="0">
        <v>2.0</v>
      </c>
      <c r="N9" t="b" s="0">
        <v>0</v>
      </c>
      <c r="O9" t="s" s="0">
        <v>66</v>
      </c>
    </row>
    <row r="10">
      <c r="A10" t="n" s="0">
        <v>9.0</v>
      </c>
      <c r="B10" t="s" s="0">
        <v>83</v>
      </c>
      <c r="C10" t="s" s="0">
        <v>63</v>
      </c>
      <c r="D10" t="s" s="0">
        <v>45</v>
      </c>
      <c r="E10" t="s" s="0">
        <v>43</v>
      </c>
      <c r="F10" t="n" s="0">
        <v>2.0</v>
      </c>
      <c r="G10" t="n" s="0">
        <v>0.0</v>
      </c>
      <c r="H10" t="n" s="0">
        <v>10.0</v>
      </c>
      <c r="I10" t="n" s="0">
        <v>2.0</v>
      </c>
      <c r="J10" t="s" s="0">
        <v>84</v>
      </c>
      <c r="K10" t="s" s="0">
        <v>71</v>
      </c>
      <c r="L10" t="n" s="0">
        <v>5.0</v>
      </c>
      <c r="M10" t="n" s="0">
        <v>2.0</v>
      </c>
      <c r="N10" t="b" s="0">
        <v>0</v>
      </c>
      <c r="O10" t="s" s="0">
        <v>66</v>
      </c>
    </row>
    <row r="11">
      <c r="A11" t="n" s="0">
        <v>10.0</v>
      </c>
      <c r="B11" t="s" s="0">
        <v>85</v>
      </c>
      <c r="C11" t="s" s="0">
        <v>63</v>
      </c>
      <c r="D11" t="s" s="0">
        <v>40</v>
      </c>
      <c r="E11" t="s" s="0">
        <v>42</v>
      </c>
      <c r="F11" t="n" s="0">
        <v>0.0</v>
      </c>
      <c r="G11" t="n" s="0">
        <v>2.0</v>
      </c>
      <c r="H11" t="n" s="0">
        <v>4.0</v>
      </c>
      <c r="I11" t="n" s="0">
        <v>10.0</v>
      </c>
      <c r="J11" t="s" s="0">
        <v>86</v>
      </c>
      <c r="K11" t="s" s="0">
        <v>65</v>
      </c>
      <c r="L11" t="n" s="0">
        <v>5.0</v>
      </c>
      <c r="M11" t="n" s="0">
        <v>2.0</v>
      </c>
      <c r="N11" t="b" s="0">
        <v>0</v>
      </c>
      <c r="O11" t="s" s="0">
        <v>66</v>
      </c>
    </row>
    <row r="12">
      <c r="A12" t="n" s="0">
        <v>11.0</v>
      </c>
      <c r="B12" t="s" s="0">
        <v>87</v>
      </c>
      <c r="C12" t="s" s="0">
        <v>63</v>
      </c>
      <c r="D12" t="s" s="0">
        <v>23</v>
      </c>
      <c r="E12" t="s" s="0">
        <v>33</v>
      </c>
      <c r="F12" t="n" s="0">
        <v>1.0</v>
      </c>
      <c r="G12" t="n" s="0">
        <v>2.0</v>
      </c>
      <c r="H12" t="n" s="0">
        <v>10.0</v>
      </c>
      <c r="I12" t="n" s="0">
        <v>12.0</v>
      </c>
      <c r="J12" t="s" s="0">
        <v>88</v>
      </c>
      <c r="K12" t="s" s="0">
        <v>65</v>
      </c>
      <c r="L12" t="n" s="0">
        <v>5.0</v>
      </c>
      <c r="M12" t="n" s="0">
        <v>2.0</v>
      </c>
      <c r="N12" t="b" s="0">
        <v>0</v>
      </c>
      <c r="O12" t="s" s="0">
        <v>66</v>
      </c>
    </row>
    <row r="13">
      <c r="A13" t="n" s="0">
        <v>12.0</v>
      </c>
      <c r="B13" t="s" s="0">
        <v>89</v>
      </c>
      <c r="C13" t="s" s="0">
        <v>63</v>
      </c>
      <c r="D13" t="s" s="0">
        <v>41</v>
      </c>
      <c r="E13" t="s" s="0">
        <v>37</v>
      </c>
      <c r="F13" t="n" s="0">
        <v>0.0</v>
      </c>
      <c r="G13" t="n" s="0">
        <v>2.0</v>
      </c>
      <c r="H13" t="n" s="0">
        <v>3.0</v>
      </c>
      <c r="I13" t="n" s="0">
        <v>10.0</v>
      </c>
      <c r="J13" t="s" s="0">
        <v>90</v>
      </c>
      <c r="K13" t="s" s="0">
        <v>65</v>
      </c>
      <c r="L13" t="n" s="0">
        <v>5.0</v>
      </c>
      <c r="M13" t="n" s="0">
        <v>2.0</v>
      </c>
      <c r="N13" t="b" s="0">
        <v>0</v>
      </c>
      <c r="O13" t="s" s="0">
        <v>66</v>
      </c>
    </row>
    <row r="14">
      <c r="A14" t="n" s="0">
        <v>13.0</v>
      </c>
      <c r="B14" t="s" s="0">
        <v>91</v>
      </c>
      <c r="C14" t="s" s="0">
        <v>63</v>
      </c>
      <c r="D14" t="s" s="0">
        <v>32</v>
      </c>
      <c r="E14" t="s" s="0">
        <v>36</v>
      </c>
      <c r="F14" t="n" s="0">
        <v>2.0</v>
      </c>
      <c r="G14" t="n" s="0">
        <v>1.0</v>
      </c>
      <c r="H14" t="n" s="0">
        <v>14.0</v>
      </c>
      <c r="I14" t="n" s="0">
        <v>7.0</v>
      </c>
      <c r="J14" t="s" s="0">
        <v>92</v>
      </c>
      <c r="K14" t="s" s="0">
        <v>71</v>
      </c>
      <c r="L14" t="n" s="0">
        <v>5.0</v>
      </c>
      <c r="M14" t="n" s="0">
        <v>2.0</v>
      </c>
      <c r="N14" t="b" s="0">
        <v>0</v>
      </c>
      <c r="O14" t="s" s="0">
        <v>66</v>
      </c>
    </row>
    <row r="15">
      <c r="A15" t="n" s="0">
        <v>14.0</v>
      </c>
      <c r="B15" t="s" s="0">
        <v>93</v>
      </c>
      <c r="C15" t="s" s="0">
        <v>63</v>
      </c>
      <c r="D15" t="s" s="0">
        <v>28</v>
      </c>
      <c r="E15" t="s" s="0">
        <v>43</v>
      </c>
      <c r="F15" t="n" s="0">
        <v>2.0</v>
      </c>
      <c r="G15" t="n" s="0">
        <v>1.0</v>
      </c>
      <c r="H15" t="n" s="0">
        <v>14.0</v>
      </c>
      <c r="I15" t="n" s="0">
        <v>7.0</v>
      </c>
      <c r="J15" t="s" s="0">
        <v>94</v>
      </c>
      <c r="K15" t="s" s="0">
        <v>71</v>
      </c>
      <c r="L15" t="n" s="0">
        <v>5.0</v>
      </c>
      <c r="M15" t="n" s="0">
        <v>2.0</v>
      </c>
      <c r="N15" t="b" s="0">
        <v>0</v>
      </c>
      <c r="O15" t="s" s="0">
        <v>66</v>
      </c>
    </row>
    <row r="16">
      <c r="A16" t="n" s="0">
        <v>15.0</v>
      </c>
      <c r="B16" t="s" s="0">
        <v>95</v>
      </c>
      <c r="C16" t="s" s="0">
        <v>63</v>
      </c>
      <c r="D16" t="s" s="0">
        <v>24</v>
      </c>
      <c r="E16" t="s" s="0">
        <v>45</v>
      </c>
      <c r="F16" t="n" s="0">
        <v>0.0</v>
      </c>
      <c r="G16" t="n" s="0">
        <v>2.0</v>
      </c>
      <c r="H16" t="n" s="0">
        <v>7.0</v>
      </c>
      <c r="I16" t="n" s="0">
        <v>10.0</v>
      </c>
      <c r="J16" t="s" s="0">
        <v>96</v>
      </c>
      <c r="K16" t="s" s="0">
        <v>65</v>
      </c>
      <c r="L16" t="n" s="0">
        <v>5.0</v>
      </c>
      <c r="M16" t="n" s="0">
        <v>2.0</v>
      </c>
      <c r="N16" t="b" s="0">
        <v>0</v>
      </c>
      <c r="O16" t="s" s="0">
        <v>66</v>
      </c>
    </row>
    <row r="17">
      <c r="A17" t="n" s="0">
        <v>16.0</v>
      </c>
      <c r="B17" t="s" s="0">
        <v>97</v>
      </c>
      <c r="C17" t="s" s="0">
        <v>63</v>
      </c>
      <c r="D17" t="s" s="0">
        <v>40</v>
      </c>
      <c r="E17" t="s" s="0">
        <v>33</v>
      </c>
      <c r="F17" t="n" s="0">
        <v>2.0</v>
      </c>
      <c r="G17" t="n" s="0">
        <v>1.0</v>
      </c>
      <c r="H17" t="n" s="0">
        <v>14.0</v>
      </c>
      <c r="I17" t="n" s="0">
        <v>11.0</v>
      </c>
      <c r="J17" t="s" s="0">
        <v>98</v>
      </c>
      <c r="K17" t="s" s="0">
        <v>71</v>
      </c>
      <c r="L17" t="n" s="0">
        <v>5.0</v>
      </c>
      <c r="M17" t="n" s="0">
        <v>2.0</v>
      </c>
      <c r="N17" t="b" s="0">
        <v>0</v>
      </c>
      <c r="O17" t="s" s="0">
        <v>66</v>
      </c>
    </row>
    <row r="18">
      <c r="A18" t="n" s="0">
        <v>17.0</v>
      </c>
      <c r="B18" t="s" s="0">
        <v>99</v>
      </c>
      <c r="C18" t="s" s="0">
        <v>63</v>
      </c>
      <c r="D18" t="s" s="0">
        <v>42</v>
      </c>
      <c r="E18" t="s" s="0">
        <v>37</v>
      </c>
      <c r="F18" t="n" s="0">
        <v>2.0</v>
      </c>
      <c r="G18" t="n" s="0">
        <v>1.0</v>
      </c>
      <c r="H18" t="n" s="0">
        <v>12.0</v>
      </c>
      <c r="I18" t="n" s="0">
        <v>9.0</v>
      </c>
      <c r="J18" t="s" s="0">
        <v>100</v>
      </c>
      <c r="K18" t="s" s="0">
        <v>71</v>
      </c>
      <c r="L18" t="n" s="0">
        <v>5.0</v>
      </c>
      <c r="M18" t="n" s="0">
        <v>2.0</v>
      </c>
      <c r="N18" t="b" s="0">
        <v>0</v>
      </c>
      <c r="O18" t="s" s="0">
        <v>66</v>
      </c>
    </row>
    <row r="19">
      <c r="A19" t="n" s="0">
        <v>18.0</v>
      </c>
      <c r="B19" t="s" s="0">
        <v>101</v>
      </c>
      <c r="C19" t="s" s="0">
        <v>63</v>
      </c>
      <c r="D19" t="s" s="0">
        <v>23</v>
      </c>
      <c r="E19" t="s" s="0">
        <v>41</v>
      </c>
      <c r="F19" t="n" s="0">
        <v>2.0</v>
      </c>
      <c r="G19" t="n" s="0">
        <v>1.0</v>
      </c>
      <c r="H19" t="n" s="0">
        <v>14.0</v>
      </c>
      <c r="I19" t="n" s="0">
        <v>13.0</v>
      </c>
      <c r="J19" t="s" s="0">
        <v>102</v>
      </c>
      <c r="K19" t="s" s="0">
        <v>71</v>
      </c>
      <c r="L19" t="n" s="0">
        <v>5.0</v>
      </c>
      <c r="M19" t="n" s="0">
        <v>2.0</v>
      </c>
      <c r="N19" t="b" s="0">
        <v>0</v>
      </c>
      <c r="O19" t="s" s="0">
        <v>66</v>
      </c>
    </row>
    <row r="20">
      <c r="A20" t="n" s="0">
        <v>19.0</v>
      </c>
      <c r="B20" t="s" s="0">
        <v>103</v>
      </c>
      <c r="C20" t="s" s="0">
        <v>63</v>
      </c>
      <c r="D20" t="s" s="0">
        <v>40</v>
      </c>
      <c r="E20" t="s" s="0">
        <v>37</v>
      </c>
      <c r="F20" t="n" s="0">
        <v>0.0</v>
      </c>
      <c r="G20" t="n" s="0">
        <v>2.0</v>
      </c>
      <c r="H20" t="n" s="0">
        <v>3.0</v>
      </c>
      <c r="I20" t="n" s="0">
        <v>10.0</v>
      </c>
      <c r="J20" t="s" s="0">
        <v>64</v>
      </c>
      <c r="K20" t="s" s="0">
        <v>65</v>
      </c>
      <c r="L20" t="n" s="0">
        <v>5.0</v>
      </c>
      <c r="M20" t="n" s="0">
        <v>2.0</v>
      </c>
      <c r="N20" t="b" s="0">
        <v>0</v>
      </c>
      <c r="O20" t="s" s="0">
        <v>66</v>
      </c>
    </row>
    <row r="21">
      <c r="A21" t="n" s="0">
        <v>20.0</v>
      </c>
      <c r="B21" t="s" s="0">
        <v>104</v>
      </c>
      <c r="C21" t="s" s="0">
        <v>63</v>
      </c>
      <c r="D21" t="s" s="0">
        <v>33</v>
      </c>
      <c r="E21" t="s" s="0">
        <v>41</v>
      </c>
      <c r="F21" t="n" s="0">
        <v>2.0</v>
      </c>
      <c r="G21" t="n" s="0">
        <v>0.0</v>
      </c>
      <c r="H21" t="n" s="0">
        <v>10.0</v>
      </c>
      <c r="I21" t="n" s="0">
        <v>6.0</v>
      </c>
      <c r="J21" t="s" s="0">
        <v>105</v>
      </c>
      <c r="K21" t="s" s="0">
        <v>71</v>
      </c>
      <c r="L21" t="n" s="0">
        <v>5.0</v>
      </c>
      <c r="M21" t="n" s="0">
        <v>2.0</v>
      </c>
      <c r="N21" t="b" s="0">
        <v>0</v>
      </c>
      <c r="O21" t="s" s="0">
        <v>66</v>
      </c>
    </row>
    <row r="22">
      <c r="A22" t="n" s="0">
        <v>21.0</v>
      </c>
      <c r="B22" t="s" s="0">
        <v>106</v>
      </c>
      <c r="C22" t="s" s="0">
        <v>63</v>
      </c>
      <c r="D22" t="s" s="0">
        <v>42</v>
      </c>
      <c r="E22" t="s" s="0">
        <v>23</v>
      </c>
      <c r="F22" t="n" s="0">
        <v>2.0</v>
      </c>
      <c r="G22" t="n" s="0">
        <v>0.0</v>
      </c>
      <c r="H22" t="n" s="0">
        <v>10.0</v>
      </c>
      <c r="I22" t="n" s="0">
        <v>8.0</v>
      </c>
      <c r="J22" t="s" s="0">
        <v>107</v>
      </c>
      <c r="K22" t="s" s="0">
        <v>71</v>
      </c>
      <c r="L22" t="n" s="0">
        <v>5.0</v>
      </c>
      <c r="M22" t="n" s="0">
        <v>2.0</v>
      </c>
      <c r="N22" t="b" s="0">
        <v>0</v>
      </c>
      <c r="O22" t="s" s="0">
        <v>66</v>
      </c>
    </row>
    <row r="23">
      <c r="A23" t="n" s="0">
        <v>22.0</v>
      </c>
      <c r="B23" t="s" s="0">
        <v>108</v>
      </c>
      <c r="C23" t="s" s="0">
        <v>63</v>
      </c>
      <c r="D23" t="s" s="0">
        <v>32</v>
      </c>
      <c r="E23" t="s" s="0">
        <v>25</v>
      </c>
      <c r="F23" t="n" s="0">
        <v>1.0</v>
      </c>
      <c r="G23" t="n" s="0">
        <v>2.0</v>
      </c>
      <c r="H23" t="n" s="0">
        <v>9.0</v>
      </c>
      <c r="I23" t="n" s="0">
        <v>13.0</v>
      </c>
      <c r="J23" t="s" s="0">
        <v>109</v>
      </c>
      <c r="K23" t="s" s="0">
        <v>65</v>
      </c>
      <c r="L23" t="n" s="0">
        <v>5.0</v>
      </c>
      <c r="M23" t="n" s="0">
        <v>2.0</v>
      </c>
      <c r="N23" t="b" s="0">
        <v>0</v>
      </c>
      <c r="O23" t="s" s="0">
        <v>66</v>
      </c>
    </row>
    <row r="24">
      <c r="A24" t="n" s="0">
        <v>23.0</v>
      </c>
      <c r="B24" t="s" s="0">
        <v>110</v>
      </c>
      <c r="C24" t="s" s="0">
        <v>63</v>
      </c>
      <c r="D24" t="s" s="0">
        <v>36</v>
      </c>
      <c r="E24" t="s" s="0">
        <v>45</v>
      </c>
      <c r="F24" t="n" s="0">
        <v>0.0</v>
      </c>
      <c r="G24" t="n" s="0">
        <v>2.0</v>
      </c>
      <c r="H24" t="n" s="0">
        <v>3.0</v>
      </c>
      <c r="I24" t="n" s="0">
        <v>10.0</v>
      </c>
      <c r="J24" t="s" s="0">
        <v>64</v>
      </c>
      <c r="K24" t="s" s="0">
        <v>65</v>
      </c>
      <c r="L24" t="n" s="0">
        <v>5.0</v>
      </c>
      <c r="M24" t="n" s="0">
        <v>2.0</v>
      </c>
      <c r="N24" t="b" s="0">
        <v>0</v>
      </c>
      <c r="O24" t="s" s="0">
        <v>66</v>
      </c>
    </row>
    <row r="25">
      <c r="A25" t="n" s="0">
        <v>24.0</v>
      </c>
      <c r="B25" t="s" s="0">
        <v>111</v>
      </c>
      <c r="C25" t="s" s="0">
        <v>63</v>
      </c>
      <c r="D25" t="s" s="0">
        <v>28</v>
      </c>
      <c r="E25" t="s" s="0">
        <v>24</v>
      </c>
      <c r="F25" t="n" s="0">
        <v>0.0</v>
      </c>
      <c r="G25" t="n" s="0">
        <v>2.0</v>
      </c>
      <c r="H25" t="n" s="0">
        <v>2.0</v>
      </c>
      <c r="I25" t="n" s="0">
        <v>10.0</v>
      </c>
      <c r="J25" t="s" s="0">
        <v>112</v>
      </c>
      <c r="K25" t="s" s="0">
        <v>65</v>
      </c>
      <c r="L25" t="n" s="0">
        <v>5.0</v>
      </c>
      <c r="M25" t="n" s="0">
        <v>2.0</v>
      </c>
      <c r="N25" t="b" s="0">
        <v>0</v>
      </c>
      <c r="O25" t="s" s="0">
        <v>66</v>
      </c>
    </row>
    <row r="26">
      <c r="A26" t="n" s="0">
        <v>25.0</v>
      </c>
      <c r="B26" t="s" s="0">
        <v>113</v>
      </c>
      <c r="C26" t="s" s="0">
        <v>63</v>
      </c>
      <c r="D26" t="s" s="0">
        <v>40</v>
      </c>
      <c r="E26" t="s" s="0">
        <v>41</v>
      </c>
      <c r="F26" t="n" s="0">
        <v>2.0</v>
      </c>
      <c r="G26" t="n" s="0">
        <v>0.0</v>
      </c>
      <c r="H26" t="n" s="0">
        <v>10.0</v>
      </c>
      <c r="I26" t="n" s="0">
        <v>3.0</v>
      </c>
      <c r="J26" t="s" s="0">
        <v>114</v>
      </c>
      <c r="K26" t="s" s="0">
        <v>71</v>
      </c>
      <c r="L26" t="n" s="0">
        <v>5.0</v>
      </c>
      <c r="M26" t="n" s="0">
        <v>2.0</v>
      </c>
      <c r="N26" t="b" s="0">
        <v>0</v>
      </c>
      <c r="O26" t="s" s="0">
        <v>66</v>
      </c>
    </row>
    <row r="27">
      <c r="A27" t="n" s="0">
        <v>26.0</v>
      </c>
      <c r="B27" t="s" s="0">
        <v>115</v>
      </c>
      <c r="C27" t="s" s="0">
        <v>63</v>
      </c>
      <c r="D27" t="s" s="0">
        <v>37</v>
      </c>
      <c r="E27" t="s" s="0">
        <v>23</v>
      </c>
      <c r="F27" t="n" s="0">
        <v>1.0</v>
      </c>
      <c r="G27" t="n" s="0">
        <v>2.0</v>
      </c>
      <c r="H27" t="n" s="0">
        <v>13.0</v>
      </c>
      <c r="I27" t="n" s="0">
        <v>12.0</v>
      </c>
      <c r="J27" t="s" s="0">
        <v>116</v>
      </c>
      <c r="K27" t="s" s="0">
        <v>65</v>
      </c>
      <c r="L27" t="n" s="0">
        <v>5.0</v>
      </c>
      <c r="M27" t="n" s="0">
        <v>2.0</v>
      </c>
      <c r="N27" t="b" s="0">
        <v>0</v>
      </c>
      <c r="O27" t="s" s="0">
        <v>66</v>
      </c>
    </row>
    <row r="28">
      <c r="A28" t="n" s="0">
        <v>27.0</v>
      </c>
      <c r="B28" t="s" s="0">
        <v>117</v>
      </c>
      <c r="C28" t="s" s="0">
        <v>63</v>
      </c>
      <c r="D28" t="s" s="0">
        <v>33</v>
      </c>
      <c r="E28" t="s" s="0">
        <v>42</v>
      </c>
      <c r="F28" t="n" s="0">
        <v>0.0</v>
      </c>
      <c r="G28" t="n" s="0">
        <v>2.0</v>
      </c>
      <c r="H28" t="n" s="0">
        <v>1.0</v>
      </c>
      <c r="I28" t="n" s="0">
        <v>10.0</v>
      </c>
      <c r="J28" t="s" s="0">
        <v>118</v>
      </c>
      <c r="K28" t="s" s="0">
        <v>65</v>
      </c>
      <c r="L28" t="n" s="0">
        <v>5.0</v>
      </c>
      <c r="M28" t="n" s="0">
        <v>2.0</v>
      </c>
      <c r="N28" t="b" s="0">
        <v>0</v>
      </c>
      <c r="O28" t="s" s="0">
        <v>66</v>
      </c>
    </row>
    <row r="29">
      <c r="A29" t="n" s="0">
        <v>28.0</v>
      </c>
      <c r="B29" t="s" s="0">
        <v>119</v>
      </c>
      <c r="C29" t="s" s="0">
        <v>63</v>
      </c>
      <c r="D29" t="s" s="0">
        <v>32</v>
      </c>
      <c r="E29" t="s" s="0">
        <v>45</v>
      </c>
      <c r="F29" t="n" s="0">
        <v>1.0</v>
      </c>
      <c r="G29" t="n" s="0">
        <v>2.0</v>
      </c>
      <c r="H29" t="n" s="0">
        <v>8.0</v>
      </c>
      <c r="I29" t="n" s="0">
        <v>11.0</v>
      </c>
      <c r="J29" t="s" s="0">
        <v>120</v>
      </c>
      <c r="K29" t="s" s="0">
        <v>65</v>
      </c>
      <c r="L29" t="n" s="0">
        <v>5.0</v>
      </c>
      <c r="M29" t="n" s="0">
        <v>2.0</v>
      </c>
      <c r="N29" t="b" s="0">
        <v>0</v>
      </c>
      <c r="O29" t="s" s="0">
        <v>66</v>
      </c>
    </row>
    <row r="30">
      <c r="A30" t="n" s="0">
        <v>29.0</v>
      </c>
      <c r="B30" t="s" s="0">
        <v>121</v>
      </c>
      <c r="C30" t="s" s="0">
        <v>63</v>
      </c>
      <c r="D30" t="s" s="0">
        <v>25</v>
      </c>
      <c r="E30" t="s" s="0">
        <v>24</v>
      </c>
      <c r="F30" t="n" s="0">
        <v>0.0</v>
      </c>
      <c r="G30" t="n" s="0">
        <v>2.0</v>
      </c>
      <c r="H30" t="n" s="0">
        <v>5.0</v>
      </c>
      <c r="I30" t="n" s="0">
        <v>10.0</v>
      </c>
      <c r="J30" t="s" s="0">
        <v>122</v>
      </c>
      <c r="K30" t="s" s="0">
        <v>65</v>
      </c>
      <c r="L30" t="n" s="0">
        <v>5.0</v>
      </c>
      <c r="M30" t="n" s="0">
        <v>2.0</v>
      </c>
      <c r="N30" t="b" s="0">
        <v>0</v>
      </c>
      <c r="O30" t="s" s="0">
        <v>66</v>
      </c>
    </row>
    <row r="31">
      <c r="A31" t="n" s="0">
        <v>30.0</v>
      </c>
      <c r="B31" t="s" s="0">
        <v>123</v>
      </c>
      <c r="C31" t="s" s="0">
        <v>63</v>
      </c>
      <c r="D31" t="s" s="0">
        <v>36</v>
      </c>
      <c r="E31" t="s" s="0">
        <v>28</v>
      </c>
      <c r="F31" t="n" s="0">
        <v>0.0</v>
      </c>
      <c r="G31" t="n" s="0">
        <v>2.0</v>
      </c>
      <c r="H31" t="n" s="0">
        <v>5.0</v>
      </c>
      <c r="I31" t="n" s="0">
        <v>10.0</v>
      </c>
      <c r="J31" t="s" s="0">
        <v>124</v>
      </c>
      <c r="K31" t="s" s="0">
        <v>65</v>
      </c>
      <c r="L31" t="n" s="0">
        <v>5.0</v>
      </c>
      <c r="M31" t="n" s="0">
        <v>2.0</v>
      </c>
      <c r="N31" t="b" s="0">
        <v>0</v>
      </c>
      <c r="O31" t="s" s="0">
        <v>66</v>
      </c>
    </row>
    <row r="32">
      <c r="A32" t="n" s="0">
        <v>31.0</v>
      </c>
      <c r="B32" t="s" s="0">
        <v>125</v>
      </c>
      <c r="C32" t="s" s="0">
        <v>63</v>
      </c>
      <c r="D32" t="s" s="0">
        <v>42</v>
      </c>
      <c r="E32" t="s" s="0">
        <v>23</v>
      </c>
      <c r="F32" t="n" s="0">
        <v>2.0</v>
      </c>
      <c r="G32" t="n" s="0">
        <v>1.0</v>
      </c>
      <c r="H32" t="n" s="0">
        <v>12.0</v>
      </c>
      <c r="I32" t="n" s="0">
        <v>10.0</v>
      </c>
      <c r="J32" t="s" s="0">
        <v>126</v>
      </c>
      <c r="K32" t="s" s="0">
        <v>71</v>
      </c>
      <c r="L32" t="n" s="0">
        <v>5.0</v>
      </c>
      <c r="M32" t="n" s="0">
        <v>2.0</v>
      </c>
      <c r="N32" t="b" s="0">
        <v>0</v>
      </c>
      <c r="O32" t="s" s="0">
        <v>66</v>
      </c>
    </row>
    <row r="33">
      <c r="A33" t="n" s="0">
        <v>32.0</v>
      </c>
      <c r="B33" t="s" s="0">
        <v>127</v>
      </c>
      <c r="C33" t="s" s="0">
        <v>63</v>
      </c>
      <c r="D33" t="s" s="0">
        <v>32</v>
      </c>
      <c r="E33" t="s" s="0">
        <v>45</v>
      </c>
      <c r="F33" t="n" s="0">
        <v>2.0</v>
      </c>
      <c r="G33" t="n" s="0">
        <v>0.0</v>
      </c>
      <c r="H33" t="n" s="0">
        <v>10.0</v>
      </c>
      <c r="I33" t="n" s="0">
        <v>8.0</v>
      </c>
      <c r="J33" t="s" s="0">
        <v>107</v>
      </c>
      <c r="K33" t="s" s="0">
        <v>71</v>
      </c>
      <c r="L33" t="n" s="0">
        <v>5.0</v>
      </c>
      <c r="M33" t="n" s="0">
        <v>2.0</v>
      </c>
      <c r="N33" t="b" s="0">
        <v>0</v>
      </c>
      <c r="O33" t="s" s="0">
        <v>66</v>
      </c>
    </row>
    <row r="34">
      <c r="A34" t="n" s="0">
        <v>33.0</v>
      </c>
      <c r="B34" t="s" s="0">
        <v>128</v>
      </c>
      <c r="C34" t="s" s="0">
        <v>63</v>
      </c>
      <c r="D34" t="s" s="0">
        <v>23</v>
      </c>
      <c r="E34" t="s" s="0">
        <v>45</v>
      </c>
      <c r="F34" t="n" s="0">
        <v>0.0</v>
      </c>
      <c r="G34" t="n" s="0">
        <v>2.0</v>
      </c>
      <c r="H34" t="n" s="0">
        <v>8.0</v>
      </c>
      <c r="I34" t="n" s="0">
        <v>10.0</v>
      </c>
      <c r="J34" t="s" s="0">
        <v>129</v>
      </c>
      <c r="K34" t="s" s="0">
        <v>65</v>
      </c>
      <c r="L34" t="n" s="0">
        <v>5.0</v>
      </c>
      <c r="M34" t="n" s="0">
        <v>2.0</v>
      </c>
      <c r="N34" t="b" s="0">
        <v>0</v>
      </c>
      <c r="O34" t="s" s="0">
        <v>66</v>
      </c>
    </row>
    <row r="35">
      <c r="A35" t="n" s="0">
        <v>34.0</v>
      </c>
      <c r="B35" t="s" s="0">
        <v>130</v>
      </c>
      <c r="C35" t="s" s="0">
        <v>63</v>
      </c>
      <c r="D35" t="s" s="0">
        <v>42</v>
      </c>
      <c r="E35" t="s" s="0">
        <v>32</v>
      </c>
      <c r="F35" t="n" s="0">
        <v>0.0</v>
      </c>
      <c r="G35" t="n" s="0">
        <v>2.0</v>
      </c>
      <c r="H35" t="n" s="0">
        <v>5.0</v>
      </c>
      <c r="I35" t="n" s="0">
        <v>10.0</v>
      </c>
      <c r="J35" t="s" s="0">
        <v>131</v>
      </c>
      <c r="K35" t="s" s="0">
        <v>65</v>
      </c>
      <c r="L35" t="n" s="0">
        <v>5.0</v>
      </c>
      <c r="M35" t="n" s="0">
        <v>2.0</v>
      </c>
      <c r="N35" t="b" s="0">
        <v>0</v>
      </c>
      <c r="O35" t="s" s="0">
        <v>66</v>
      </c>
    </row>
    <row r="36">
      <c r="A36" t="n" s="0">
        <v>35.0</v>
      </c>
      <c r="B36" t="s" s="0">
        <v>132</v>
      </c>
      <c r="C36" t="s" s="0">
        <v>63</v>
      </c>
      <c r="D36" t="s" s="0">
        <v>45</v>
      </c>
      <c r="E36" t="s" s="0">
        <v>41</v>
      </c>
      <c r="F36" t="n" s="0">
        <v>2.0</v>
      </c>
      <c r="G36" t="n" s="0">
        <v>1.0</v>
      </c>
      <c r="H36" t="n" s="0">
        <v>14.0</v>
      </c>
      <c r="I36" t="n" s="0">
        <v>9.0</v>
      </c>
      <c r="J36" t="s" s="0">
        <v>133</v>
      </c>
      <c r="K36" t="s" s="0">
        <v>71</v>
      </c>
      <c r="L36" t="n" s="0">
        <v>5.0</v>
      </c>
      <c r="M36" t="n" s="0">
        <v>2.0</v>
      </c>
      <c r="N36" t="b" s="0">
        <v>1</v>
      </c>
      <c r="O36" t="s" s="0">
        <v>66</v>
      </c>
    </row>
    <row r="37">
      <c r="A37" t="n" s="0">
        <v>36.0</v>
      </c>
      <c r="B37" t="s" s="0">
        <v>134</v>
      </c>
      <c r="C37" t="s" s="0">
        <v>135</v>
      </c>
      <c r="D37" t="s" s="0">
        <v>32</v>
      </c>
      <c r="E37" t="s" s="0">
        <v>39</v>
      </c>
      <c r="F37" t="n" s="0">
        <v>1.0</v>
      </c>
      <c r="G37" t="n" s="0">
        <v>0.0</v>
      </c>
      <c r="H37" t="n" s="0">
        <v>10.0</v>
      </c>
      <c r="I37" t="n" s="0">
        <v>8.0</v>
      </c>
      <c r="J37" t="s" s="0">
        <v>136</v>
      </c>
      <c r="K37" t="s" s="0">
        <v>137</v>
      </c>
      <c r="L37" t="n" s="0">
        <v>5.0</v>
      </c>
      <c r="M37" t="n" s="0">
        <v>2.0</v>
      </c>
      <c r="N37" t="b" s="0">
        <v>1</v>
      </c>
      <c r="O37" t="s" s="0">
        <v>66</v>
      </c>
    </row>
    <row r="38">
      <c r="A38" t="n" s="0">
        <v>37.0</v>
      </c>
      <c r="B38" t="s" s="0">
        <v>138</v>
      </c>
      <c r="C38" t="s" s="0">
        <v>63</v>
      </c>
      <c r="D38" t="s" s="0">
        <v>29</v>
      </c>
      <c r="E38" t="s" s="0">
        <v>23</v>
      </c>
      <c r="F38" t="n" s="0">
        <v>1.0</v>
      </c>
      <c r="G38" t="n" s="0">
        <v>2.0</v>
      </c>
      <c r="H38" t="n" s="0">
        <v>11.0</v>
      </c>
      <c r="I38" t="n" s="0">
        <v>11.0</v>
      </c>
      <c r="J38" t="s" s="0">
        <v>139</v>
      </c>
      <c r="K38" t="s" s="0">
        <v>65</v>
      </c>
      <c r="L38" t="n" s="0">
        <v>5.0</v>
      </c>
      <c r="M38" t="n" s="0">
        <v>2.0</v>
      </c>
      <c r="N38" t="b" s="0">
        <v>1</v>
      </c>
      <c r="O38" t="s" s="0">
        <v>66</v>
      </c>
    </row>
    <row r="39">
      <c r="A39" t="n" s="0">
        <v>38.0</v>
      </c>
      <c r="B39" t="s" s="0">
        <v>140</v>
      </c>
      <c r="C39" t="s" s="0">
        <v>63</v>
      </c>
      <c r="D39" t="s" s="0">
        <v>39</v>
      </c>
      <c r="E39" t="s" s="0">
        <v>41</v>
      </c>
      <c r="F39" t="n" s="0">
        <v>2.0</v>
      </c>
      <c r="G39" t="n" s="0">
        <v>1.0</v>
      </c>
      <c r="H39" t="n" s="0">
        <v>13.0</v>
      </c>
      <c r="I39" t="n" s="0">
        <v>8.0</v>
      </c>
      <c r="J39" t="s" s="0">
        <v>141</v>
      </c>
      <c r="K39" t="s" s="0">
        <v>71</v>
      </c>
      <c r="L39" t="n" s="0">
        <v>5.0</v>
      </c>
      <c r="M39" t="n" s="0">
        <v>2.0</v>
      </c>
      <c r="N39" t="b" s="0">
        <v>1</v>
      </c>
      <c r="O39" t="s" s="0">
        <v>66</v>
      </c>
    </row>
    <row r="40">
      <c r="A40" t="n" s="0">
        <v>39.0</v>
      </c>
      <c r="B40" t="s" s="0">
        <v>142</v>
      </c>
      <c r="C40" t="s" s="0">
        <v>63</v>
      </c>
      <c r="D40" t="s" s="0">
        <v>45</v>
      </c>
      <c r="E40" t="s" s="0">
        <v>23</v>
      </c>
      <c r="F40" t="n" s="0">
        <v>2.0</v>
      </c>
      <c r="G40" t="n" s="0">
        <v>1.0</v>
      </c>
      <c r="H40" t="n" s="0">
        <v>14.0</v>
      </c>
      <c r="I40" t="n" s="0">
        <v>12.0</v>
      </c>
      <c r="J40" t="s" s="0">
        <v>143</v>
      </c>
      <c r="K40" t="s" s="0">
        <v>71</v>
      </c>
      <c r="L40" t="n" s="0">
        <v>5.0</v>
      </c>
      <c r="M40" t="n" s="0">
        <v>2.0</v>
      </c>
      <c r="N40" t="b" s="0">
        <v>1</v>
      </c>
      <c r="O40" t="s" s="0">
        <v>66</v>
      </c>
    </row>
    <row r="41">
      <c r="A41" t="n" s="0">
        <v>40.0</v>
      </c>
      <c r="B41" t="s" s="0">
        <v>144</v>
      </c>
      <c r="C41" t="s" s="0">
        <v>63</v>
      </c>
      <c r="D41" t="s" s="0">
        <v>32</v>
      </c>
      <c r="E41" t="s" s="0">
        <v>39</v>
      </c>
      <c r="F41" t="n" s="0">
        <v>2.0</v>
      </c>
      <c r="G41" t="n" s="0">
        <v>1.0</v>
      </c>
      <c r="H41" t="n" s="0">
        <v>12.0</v>
      </c>
      <c r="I41" t="n" s="0">
        <v>8.0</v>
      </c>
      <c r="J41" t="s" s="0">
        <v>145</v>
      </c>
      <c r="K41" t="s" s="0">
        <v>71</v>
      </c>
      <c r="L41" t="n" s="0">
        <v>5.0</v>
      </c>
      <c r="M41" t="n" s="0">
        <v>2.0</v>
      </c>
      <c r="N41" t="b" s="0">
        <v>1</v>
      </c>
      <c r="O41" t="s" s="0">
        <v>66</v>
      </c>
    </row>
    <row r="42">
      <c r="A42" t="n" s="0">
        <v>41.0</v>
      </c>
      <c r="B42" t="s" s="0">
        <v>146</v>
      </c>
      <c r="C42" t="s" s="0">
        <v>63</v>
      </c>
      <c r="D42" t="s" s="0">
        <v>23</v>
      </c>
      <c r="E42" t="s" s="0">
        <v>39</v>
      </c>
      <c r="F42" t="n" s="0">
        <v>2.0</v>
      </c>
      <c r="G42" t="n" s="0">
        <v>0.0</v>
      </c>
      <c r="H42" t="n" s="0">
        <v>11.0</v>
      </c>
      <c r="I42" t="n" s="0">
        <v>6.0</v>
      </c>
      <c r="J42" t="s" s="0">
        <v>147</v>
      </c>
      <c r="K42" t="s" s="0">
        <v>71</v>
      </c>
      <c r="L42" t="n" s="0">
        <v>5.0</v>
      </c>
      <c r="M42" t="n" s="0">
        <v>2.0</v>
      </c>
      <c r="N42" t="b" s="0">
        <v>1</v>
      </c>
      <c r="O42" t="s" s="0">
        <v>66</v>
      </c>
    </row>
    <row r="43">
      <c r="A43" t="n" s="0">
        <v>42.0</v>
      </c>
      <c r="B43" t="s" s="0">
        <v>148</v>
      </c>
      <c r="C43" t="s" s="0">
        <v>63</v>
      </c>
      <c r="D43" t="s" s="0">
        <v>45</v>
      </c>
      <c r="E43" t="s" s="0">
        <v>32</v>
      </c>
      <c r="F43" t="n" s="0">
        <v>2.0</v>
      </c>
      <c r="G43" t="n" s="0">
        <v>0.0</v>
      </c>
      <c r="H43" t="n" s="0">
        <v>10.0</v>
      </c>
      <c r="I43" t="n" s="0">
        <v>2.0</v>
      </c>
      <c r="J43" t="s" s="0">
        <v>84</v>
      </c>
      <c r="K43" t="s" s="0">
        <v>71</v>
      </c>
      <c r="L43" t="n" s="0">
        <v>5.0</v>
      </c>
      <c r="M43" t="n" s="0">
        <v>2.0</v>
      </c>
      <c r="N43" t="b" s="0">
        <v>1</v>
      </c>
      <c r="O43" t="s" s="0">
        <v>66</v>
      </c>
    </row>
    <row r="44">
      <c r="A44" t="n" s="0">
        <v>43.0</v>
      </c>
      <c r="B44" t="s" s="0">
        <v>149</v>
      </c>
      <c r="C44" t="s" s="0">
        <v>63</v>
      </c>
      <c r="D44" t="s" s="0">
        <v>23</v>
      </c>
      <c r="E44" t="s" s="0">
        <v>42</v>
      </c>
      <c r="F44" t="n" s="0">
        <v>1.0</v>
      </c>
      <c r="G44" t="n" s="0">
        <v>2.0</v>
      </c>
      <c r="H44" t="n" s="0">
        <v>12.0</v>
      </c>
      <c r="I44" t="n" s="0">
        <v>14.0</v>
      </c>
      <c r="J44" t="s" s="0">
        <v>150</v>
      </c>
      <c r="K44" t="s" s="0">
        <v>65</v>
      </c>
      <c r="L44" t="n" s="0">
        <v>5.0</v>
      </c>
      <c r="M44" t="n" s="0">
        <v>2.0</v>
      </c>
      <c r="N44" t="b" s="0">
        <v>0</v>
      </c>
      <c r="O44" t="s" s="0">
        <v>66</v>
      </c>
    </row>
    <row r="45">
      <c r="A45" t="n" s="0">
        <v>44.0</v>
      </c>
      <c r="B45" t="s" s="0">
        <v>151</v>
      </c>
      <c r="C45" t="s" s="0">
        <v>63</v>
      </c>
      <c r="D45" t="s" s="0">
        <v>31</v>
      </c>
      <c r="E45" t="s" s="0">
        <v>45</v>
      </c>
      <c r="F45" t="n" s="0">
        <v>0.0</v>
      </c>
      <c r="G45" t="n" s="0">
        <v>1.0</v>
      </c>
      <c r="H45" t="n" s="0">
        <v>2.0</v>
      </c>
      <c r="I45" t="n" s="0">
        <v>5.0</v>
      </c>
      <c r="J45" t="s" s="0">
        <v>152</v>
      </c>
      <c r="K45" t="s" s="0">
        <v>65</v>
      </c>
      <c r="L45" t="n" s="0">
        <v>5.0</v>
      </c>
      <c r="M45" t="n" s="0">
        <v>1.0</v>
      </c>
      <c r="N45" t="b" s="0">
        <v>0</v>
      </c>
      <c r="O45" t="s" s="0">
        <v>66</v>
      </c>
    </row>
    <row r="46">
      <c r="A46" t="n" s="0">
        <v>45.0</v>
      </c>
      <c r="B46" t="s" s="0">
        <v>153</v>
      </c>
      <c r="C46" t="s" s="0">
        <v>63</v>
      </c>
      <c r="D46" t="s" s="0">
        <v>29</v>
      </c>
      <c r="E46" t="s" s="0">
        <v>32</v>
      </c>
      <c r="F46" t="n" s="0">
        <v>1.0</v>
      </c>
      <c r="G46" t="n" s="0">
        <v>0.0</v>
      </c>
      <c r="H46" t="n" s="0">
        <v>5.0</v>
      </c>
      <c r="I46" t="n" s="0">
        <v>4.0</v>
      </c>
      <c r="J46" t="s" s="0">
        <v>154</v>
      </c>
      <c r="K46" t="s" s="0">
        <v>71</v>
      </c>
      <c r="L46" t="n" s="0">
        <v>5.0</v>
      </c>
      <c r="M46" t="n" s="0">
        <v>1.0</v>
      </c>
      <c r="N46" t="b" s="0">
        <v>0</v>
      </c>
      <c r="O46" t="s" s="0">
        <v>66</v>
      </c>
    </row>
    <row r="47">
      <c r="A47" t="n" s="0">
        <v>46.0</v>
      </c>
      <c r="B47" t="s" s="0">
        <v>155</v>
      </c>
      <c r="C47" t="s" s="0">
        <v>63</v>
      </c>
      <c r="D47" t="s" s="0">
        <v>31</v>
      </c>
      <c r="E47" t="s" s="0">
        <v>32</v>
      </c>
      <c r="F47" t="n" s="0">
        <v>1.0</v>
      </c>
      <c r="G47" t="n" s="0">
        <v>0.0</v>
      </c>
      <c r="H47" t="n" s="0">
        <v>5.0</v>
      </c>
      <c r="I47" t="n" s="0">
        <v>3.0</v>
      </c>
      <c r="J47" t="s" s="0">
        <v>156</v>
      </c>
      <c r="K47" t="s" s="0">
        <v>71</v>
      </c>
      <c r="L47" t="n" s="0">
        <v>5.0</v>
      </c>
      <c r="M47" t="n" s="0">
        <v>1.0</v>
      </c>
      <c r="N47" t="b" s="0">
        <v>0</v>
      </c>
      <c r="O47" t="s" s="0">
        <v>66</v>
      </c>
    </row>
    <row r="48">
      <c r="A48" t="n" s="0">
        <v>47.0</v>
      </c>
      <c r="B48" t="s" s="0">
        <v>157</v>
      </c>
      <c r="C48" t="s" s="0">
        <v>63</v>
      </c>
      <c r="D48" t="s" s="0">
        <v>45</v>
      </c>
      <c r="E48" t="s" s="0">
        <v>29</v>
      </c>
      <c r="F48" t="n" s="0">
        <v>1.0</v>
      </c>
      <c r="G48" t="n" s="0">
        <v>0.0</v>
      </c>
      <c r="H48" t="n" s="0">
        <v>5.0</v>
      </c>
      <c r="I48" t="n" s="0">
        <v>4.0</v>
      </c>
      <c r="J48" t="s" s="0">
        <v>154</v>
      </c>
      <c r="K48" t="s" s="0">
        <v>71</v>
      </c>
      <c r="L48" t="n" s="0">
        <v>5.0</v>
      </c>
      <c r="M48" t="n" s="0">
        <v>1.0</v>
      </c>
      <c r="N48" t="b" s="0">
        <v>0</v>
      </c>
      <c r="O48" t="s" s="0">
        <v>66</v>
      </c>
    </row>
    <row r="49">
      <c r="A49" t="n" s="0">
        <v>48.0</v>
      </c>
      <c r="B49" t="s" s="0">
        <v>158</v>
      </c>
      <c r="C49" t="s" s="0">
        <v>63</v>
      </c>
      <c r="D49" t="s" s="0">
        <v>31</v>
      </c>
      <c r="E49" t="s" s="0">
        <v>29</v>
      </c>
      <c r="F49" t="n" s="0">
        <v>0.0</v>
      </c>
      <c r="G49" t="n" s="0">
        <v>1.0</v>
      </c>
      <c r="H49" t="n" s="0">
        <v>3.0</v>
      </c>
      <c r="I49" t="n" s="0">
        <v>5.0</v>
      </c>
      <c r="J49" t="s" s="0">
        <v>159</v>
      </c>
      <c r="K49" t="s" s="0">
        <v>65</v>
      </c>
      <c r="L49" t="n" s="0">
        <v>5.0</v>
      </c>
      <c r="M49" t="n" s="0">
        <v>1.0</v>
      </c>
      <c r="N49" t="b" s="0">
        <v>0</v>
      </c>
      <c r="O49" t="s" s="0">
        <v>66</v>
      </c>
    </row>
    <row r="50">
      <c r="A50" t="n" s="0">
        <v>49.0</v>
      </c>
      <c r="B50" t="s" s="0">
        <v>160</v>
      </c>
      <c r="C50" t="s" s="0">
        <v>63</v>
      </c>
      <c r="D50" t="s" s="0">
        <v>32</v>
      </c>
      <c r="E50" t="s" s="0">
        <v>45</v>
      </c>
      <c r="F50" t="n" s="0">
        <v>0.0</v>
      </c>
      <c r="G50" t="n" s="0">
        <v>1.0</v>
      </c>
      <c r="H50" t="n" s="0">
        <v>1.0</v>
      </c>
      <c r="I50" t="n" s="0">
        <v>5.0</v>
      </c>
      <c r="J50" t="s" s="0">
        <v>161</v>
      </c>
      <c r="K50" t="s" s="0">
        <v>65</v>
      </c>
      <c r="L50" t="n" s="0">
        <v>5.0</v>
      </c>
      <c r="M50" t="n" s="0">
        <v>1.0</v>
      </c>
      <c r="N50" t="b" s="0">
        <v>0</v>
      </c>
      <c r="O50" t="s" s="0">
        <v>66</v>
      </c>
    </row>
    <row r="51">
      <c r="A51" t="n" s="0">
        <v>50.0</v>
      </c>
      <c r="B51" t="s" s="0">
        <v>162</v>
      </c>
      <c r="C51" t="s" s="0">
        <v>63</v>
      </c>
      <c r="D51" t="s" s="0">
        <v>29</v>
      </c>
      <c r="E51" t="s" s="0">
        <v>44</v>
      </c>
      <c r="F51" t="n" s="0">
        <v>0.0</v>
      </c>
      <c r="G51" t="n" s="0">
        <v>1.0</v>
      </c>
      <c r="H51" t="n" s="0">
        <v>2.0</v>
      </c>
      <c r="I51" t="n" s="0">
        <v>5.0</v>
      </c>
      <c r="J51" t="s" s="0">
        <v>152</v>
      </c>
      <c r="K51" t="s" s="0">
        <v>65</v>
      </c>
      <c r="L51" t="n" s="0">
        <v>5.0</v>
      </c>
      <c r="M51" t="n" s="0">
        <v>1.0</v>
      </c>
      <c r="N51" t="b" s="0">
        <v>0</v>
      </c>
      <c r="O51" t="s" s="0">
        <v>66</v>
      </c>
    </row>
    <row r="52">
      <c r="A52" t="n" s="0">
        <v>51.0</v>
      </c>
      <c r="B52" t="s" s="0">
        <v>163</v>
      </c>
      <c r="C52" t="s" s="0">
        <v>63</v>
      </c>
      <c r="D52" t="s" s="0">
        <v>29</v>
      </c>
      <c r="E52" t="s" s="0">
        <v>44</v>
      </c>
      <c r="F52" t="n" s="0">
        <v>0.0</v>
      </c>
      <c r="G52" t="n" s="0">
        <v>1.0</v>
      </c>
      <c r="H52" t="n" s="0">
        <v>3.0</v>
      </c>
      <c r="I52" t="n" s="0">
        <v>5.0</v>
      </c>
      <c r="J52" t="s" s="0">
        <v>159</v>
      </c>
      <c r="K52" t="s" s="0">
        <v>65</v>
      </c>
      <c r="L52" t="n" s="0">
        <v>5.0</v>
      </c>
      <c r="M52" t="n" s="0">
        <v>1.0</v>
      </c>
      <c r="N52" t="b" s="0">
        <v>0</v>
      </c>
      <c r="O52" t="s" s="0">
        <v>66</v>
      </c>
    </row>
    <row r="53">
      <c r="A53" t="n" s="0">
        <v>52.0</v>
      </c>
      <c r="B53" t="s" s="0">
        <v>164</v>
      </c>
      <c r="C53" t="s" s="0">
        <v>63</v>
      </c>
      <c r="D53" t="s" s="0">
        <v>29</v>
      </c>
      <c r="E53" t="s" s="0">
        <v>45</v>
      </c>
      <c r="F53" t="n" s="0">
        <v>2.0</v>
      </c>
      <c r="G53" t="n" s="0">
        <v>1.0</v>
      </c>
      <c r="H53" t="n" s="0">
        <v>13.0</v>
      </c>
      <c r="I53" t="n" s="0">
        <v>12.0</v>
      </c>
      <c r="J53" t="s" s="0">
        <v>165</v>
      </c>
      <c r="K53" t="s" s="0">
        <v>71</v>
      </c>
      <c r="L53" t="n" s="0">
        <v>5.0</v>
      </c>
      <c r="M53" t="n" s="0">
        <v>2.0</v>
      </c>
      <c r="N53" t="b" s="0">
        <v>0</v>
      </c>
      <c r="O53" t="s" s="0">
        <v>66</v>
      </c>
    </row>
    <row r="54">
      <c r="A54" t="n" s="0">
        <v>53.0</v>
      </c>
      <c r="B54" t="s" s="0">
        <v>166</v>
      </c>
      <c r="C54" t="s" s="0">
        <v>63</v>
      </c>
      <c r="D54" t="s" s="0">
        <v>45</v>
      </c>
      <c r="E54" t="s" s="0">
        <v>39</v>
      </c>
      <c r="F54" t="n" s="0">
        <v>2.0</v>
      </c>
      <c r="G54" t="n" s="0">
        <v>0.0</v>
      </c>
      <c r="H54" t="n" s="0">
        <v>10.0</v>
      </c>
      <c r="I54" t="n" s="0">
        <v>5.0</v>
      </c>
      <c r="J54" t="s" s="0">
        <v>167</v>
      </c>
      <c r="K54" t="s" s="0">
        <v>71</v>
      </c>
      <c r="L54" t="n" s="0">
        <v>5.0</v>
      </c>
      <c r="M54" t="n" s="0">
        <v>2.0</v>
      </c>
      <c r="N54" t="b" s="0">
        <v>0</v>
      </c>
      <c r="O54" t="s" s="0">
        <v>66</v>
      </c>
    </row>
    <row r="55">
      <c r="A55" t="n" s="0">
        <v>54.0</v>
      </c>
      <c r="B55" t="s" s="0">
        <v>168</v>
      </c>
      <c r="C55" t="s" s="0">
        <v>63</v>
      </c>
      <c r="D55" t="s" s="0">
        <v>39</v>
      </c>
      <c r="E55" t="s" s="0">
        <v>45</v>
      </c>
      <c r="F55" t="n" s="0">
        <v>2.0</v>
      </c>
      <c r="G55" t="n" s="0">
        <v>1.0</v>
      </c>
      <c r="H55" t="n" s="0">
        <v>12.0</v>
      </c>
      <c r="I55" t="n" s="0">
        <v>9.0</v>
      </c>
      <c r="J55" t="s" s="0">
        <v>169</v>
      </c>
      <c r="K55" t="s" s="0">
        <v>71</v>
      </c>
      <c r="L55" t="n" s="0">
        <v>5.0</v>
      </c>
      <c r="M55" t="n" s="0">
        <v>2.0</v>
      </c>
      <c r="N55" t="b" s="0">
        <v>0</v>
      </c>
      <c r="O55" t="s" s="0">
        <v>66</v>
      </c>
    </row>
    <row r="56">
      <c r="A56" t="n" s="0">
        <v>55.0</v>
      </c>
      <c r="B56" t="s" s="0">
        <v>170</v>
      </c>
      <c r="C56" t="s" s="0">
        <v>63</v>
      </c>
      <c r="D56" t="s" s="0">
        <v>23</v>
      </c>
      <c r="E56" t="s" s="0">
        <v>39</v>
      </c>
      <c r="F56" t="n" s="0">
        <v>1.0</v>
      </c>
      <c r="G56" t="n" s="0">
        <v>0.0</v>
      </c>
      <c r="H56" t="n" s="0">
        <v>5.0</v>
      </c>
      <c r="I56" t="n" s="0">
        <v>0.0</v>
      </c>
      <c r="J56" t="s" s="0">
        <v>171</v>
      </c>
      <c r="K56" t="s" s="0">
        <v>71</v>
      </c>
      <c r="L56" t="n" s="0">
        <v>5.0</v>
      </c>
      <c r="M56" t="n" s="0">
        <v>1.0</v>
      </c>
      <c r="N56" t="b" s="0">
        <v>0</v>
      </c>
      <c r="O56" t="s" s="0">
        <v>66</v>
      </c>
    </row>
    <row r="57">
      <c r="A57" t="n" s="0">
        <v>56.0</v>
      </c>
      <c r="B57" t="s" s="0">
        <v>172</v>
      </c>
      <c r="C57" t="s" s="0">
        <v>63</v>
      </c>
      <c r="D57" t="s" s="0">
        <v>39</v>
      </c>
      <c r="E57" t="s" s="0">
        <v>23</v>
      </c>
      <c r="F57" t="n" s="0">
        <v>1.0</v>
      </c>
      <c r="G57" t="n" s="0">
        <v>0.0</v>
      </c>
      <c r="H57" t="n" s="0">
        <v>5.0</v>
      </c>
      <c r="I57" t="n" s="0">
        <v>1.0</v>
      </c>
      <c r="J57" t="s" s="0">
        <v>173</v>
      </c>
      <c r="K57" t="s" s="0">
        <v>71</v>
      </c>
      <c r="L57" t="n" s="0">
        <v>5.0</v>
      </c>
      <c r="M57" t="n" s="0">
        <v>1.0</v>
      </c>
      <c r="N57" t="b" s="0">
        <v>0</v>
      </c>
      <c r="O57" t="s" s="0">
        <v>66</v>
      </c>
    </row>
    <row r="58">
      <c r="A58" t="n" s="0">
        <v>57.0</v>
      </c>
      <c r="B58" t="s" s="0">
        <v>174</v>
      </c>
      <c r="C58" t="s" s="0">
        <v>135</v>
      </c>
      <c r="D58" t="s" s="0">
        <v>39</v>
      </c>
      <c r="E58" t="s" s="0">
        <v>45</v>
      </c>
      <c r="F58" t="n" s="0">
        <v>0.0</v>
      </c>
      <c r="G58" t="n" s="0">
        <v>1.0</v>
      </c>
      <c r="H58" t="n" s="0">
        <v>2.0</v>
      </c>
      <c r="I58" t="n" s="0">
        <v>5.0</v>
      </c>
      <c r="J58" t="s" s="0">
        <v>152</v>
      </c>
      <c r="K58" t="s" s="0">
        <v>137</v>
      </c>
      <c r="L58" t="n" s="0">
        <v>5.0</v>
      </c>
      <c r="M58" t="n" s="0">
        <v>2.0</v>
      </c>
      <c r="N58" t="b" s="0">
        <v>0</v>
      </c>
      <c r="O58" t="s" s="0">
        <v>175</v>
      </c>
    </row>
    <row r="59">
      <c r="A59" t="n" s="0">
        <v>58.0</v>
      </c>
      <c r="B59" t="s" s="0">
        <v>176</v>
      </c>
      <c r="C59" t="s" s="0">
        <v>63</v>
      </c>
      <c r="D59" t="s" s="0">
        <v>45</v>
      </c>
      <c r="E59" t="s" s="0">
        <v>39</v>
      </c>
      <c r="F59" t="n" s="0">
        <v>0.0</v>
      </c>
      <c r="G59" t="n" s="0">
        <v>2.0</v>
      </c>
      <c r="H59" t="n" s="0">
        <v>5.0</v>
      </c>
      <c r="I59" t="n" s="0">
        <v>10.0</v>
      </c>
      <c r="J59" t="s" s="0">
        <v>131</v>
      </c>
      <c r="K59" t="s" s="0">
        <v>65</v>
      </c>
      <c r="L59" t="n" s="0">
        <v>5.0</v>
      </c>
      <c r="M59" t="n" s="0">
        <v>2.0</v>
      </c>
      <c r="N59" t="b" s="0">
        <v>0</v>
      </c>
      <c r="O59" t="s" s="0">
        <v>175</v>
      </c>
    </row>
    <row r="60">
      <c r="A60" t="n" s="0">
        <v>59.0</v>
      </c>
      <c r="B60" t="s" s="0">
        <v>177</v>
      </c>
      <c r="C60" t="s" s="0">
        <v>63</v>
      </c>
      <c r="D60" t="s" s="0">
        <v>32</v>
      </c>
      <c r="E60" t="s" s="0">
        <v>45</v>
      </c>
      <c r="F60" t="n" s="0">
        <v>0.0</v>
      </c>
      <c r="G60" t="n" s="0">
        <v>2.0</v>
      </c>
      <c r="H60" t="n" s="0">
        <v>6.0</v>
      </c>
      <c r="I60" t="n" s="0">
        <v>10.0</v>
      </c>
      <c r="J60" t="s" s="0">
        <v>178</v>
      </c>
      <c r="K60" t="s" s="0">
        <v>65</v>
      </c>
      <c r="L60" t="n" s="0">
        <v>5.0</v>
      </c>
      <c r="M60" t="n" s="0">
        <v>2.0</v>
      </c>
      <c r="N60" t="b" s="0">
        <v>0</v>
      </c>
      <c r="O60" t="s" s="0">
        <v>66</v>
      </c>
    </row>
    <row r="61">
      <c r="A61" t="n" s="0">
        <v>60.0</v>
      </c>
      <c r="B61" t="s" s="0">
        <v>179</v>
      </c>
      <c r="C61" t="s" s="0">
        <v>135</v>
      </c>
      <c r="D61" t="s" s="0">
        <v>23</v>
      </c>
      <c r="E61" t="s" s="0">
        <v>43</v>
      </c>
      <c r="F61" t="n" s="0">
        <v>0.0</v>
      </c>
      <c r="G61" t="n" s="0">
        <v>1.0</v>
      </c>
      <c r="H61" t="n" s="0">
        <v>3.0</v>
      </c>
      <c r="I61" t="n" s="0">
        <v>5.0</v>
      </c>
      <c r="J61" t="s" s="0">
        <v>159</v>
      </c>
      <c r="K61" t="s" s="0">
        <v>137</v>
      </c>
      <c r="L61" t="n" s="0">
        <v>5.0</v>
      </c>
      <c r="M61" t="n" s="0">
        <v>2.0</v>
      </c>
      <c r="N61" t="b" s="0">
        <v>0</v>
      </c>
      <c r="O61" t="s" s="0">
        <v>175</v>
      </c>
    </row>
    <row r="62">
      <c r="A62" t="n" s="0">
        <v>61.0</v>
      </c>
      <c r="B62" t="s" s="0">
        <v>180</v>
      </c>
      <c r="C62" t="s" s="0">
        <v>63</v>
      </c>
      <c r="D62" t="s" s="0">
        <v>34</v>
      </c>
      <c r="E62" t="s" s="0">
        <v>39</v>
      </c>
      <c r="F62" t="n" s="0">
        <v>1.0</v>
      </c>
      <c r="G62" t="n" s="0">
        <v>0.0</v>
      </c>
      <c r="H62" t="n" s="0">
        <v>5.0</v>
      </c>
      <c r="I62" t="n" s="0">
        <v>2.0</v>
      </c>
      <c r="J62" t="s" s="0">
        <v>181</v>
      </c>
      <c r="K62" t="s" s="0">
        <v>71</v>
      </c>
      <c r="L62" t="n" s="0">
        <v>5.0</v>
      </c>
      <c r="M62" t="n" s="0">
        <v>1.0</v>
      </c>
      <c r="N62" t="b" s="0">
        <v>0</v>
      </c>
      <c r="O62" t="s" s="0">
        <v>66</v>
      </c>
    </row>
    <row r="63">
      <c r="A63" t="n" s="0">
        <v>62.0</v>
      </c>
      <c r="B63" t="s" s="0">
        <v>182</v>
      </c>
      <c r="C63" t="s" s="0">
        <v>63</v>
      </c>
      <c r="D63" t="s" s="0">
        <v>34</v>
      </c>
      <c r="E63" t="s" s="0">
        <v>39</v>
      </c>
      <c r="F63" t="n" s="0">
        <v>0.0</v>
      </c>
      <c r="G63" t="n" s="0">
        <v>1.0</v>
      </c>
      <c r="H63" t="n" s="0">
        <v>1.0</v>
      </c>
      <c r="I63" t="n" s="0">
        <v>5.0</v>
      </c>
      <c r="J63" t="s" s="0">
        <v>161</v>
      </c>
      <c r="K63" t="s" s="0">
        <v>65</v>
      </c>
      <c r="L63" t="n" s="0">
        <v>5.0</v>
      </c>
      <c r="M63" t="n" s="0">
        <v>1.0</v>
      </c>
      <c r="N63" t="b" s="0">
        <v>0</v>
      </c>
      <c r="O63" t="s" s="0">
        <v>66</v>
      </c>
    </row>
    <row r="64">
      <c r="A64" t="n" s="0">
        <v>63.0</v>
      </c>
      <c r="B64" t="s" s="0">
        <v>183</v>
      </c>
      <c r="C64" t="s" s="0">
        <v>63</v>
      </c>
      <c r="D64" t="s" s="0">
        <v>23</v>
      </c>
      <c r="E64" t="s" s="0">
        <v>42</v>
      </c>
      <c r="F64" t="n" s="0">
        <v>0.0</v>
      </c>
      <c r="G64" t="n" s="0">
        <v>1.0</v>
      </c>
      <c r="H64" t="n" s="0">
        <v>4.0</v>
      </c>
      <c r="I64" t="n" s="0">
        <v>5.0</v>
      </c>
      <c r="J64" t="s" s="0">
        <v>184</v>
      </c>
      <c r="K64" t="s" s="0">
        <v>65</v>
      </c>
      <c r="L64" t="n" s="0">
        <v>5.0</v>
      </c>
      <c r="M64" t="n" s="0">
        <v>1.0</v>
      </c>
      <c r="N64" t="b" s="0">
        <v>0</v>
      </c>
      <c r="O64" t="s" s="0">
        <v>66</v>
      </c>
    </row>
    <row r="65">
      <c r="A65" t="n" s="0">
        <v>64.0</v>
      </c>
      <c r="B65" t="s" s="0">
        <v>185</v>
      </c>
      <c r="C65" t="s" s="0">
        <v>63</v>
      </c>
      <c r="D65" t="s" s="0">
        <v>39</v>
      </c>
      <c r="E65" t="s" s="0">
        <v>42</v>
      </c>
      <c r="F65" t="n" s="0">
        <v>1.0</v>
      </c>
      <c r="G65" t="n" s="0">
        <v>0.0</v>
      </c>
      <c r="H65" t="n" s="0">
        <v>5.0</v>
      </c>
      <c r="I65" t="n" s="0">
        <v>3.0</v>
      </c>
      <c r="J65" t="s" s="0">
        <v>156</v>
      </c>
      <c r="K65" t="s" s="0">
        <v>71</v>
      </c>
      <c r="L65" t="n" s="0">
        <v>5.0</v>
      </c>
      <c r="M65" t="n" s="0">
        <v>1.0</v>
      </c>
      <c r="N65" t="b" s="0">
        <v>0</v>
      </c>
      <c r="O65" t="s" s="0">
        <v>66</v>
      </c>
    </row>
    <row r="66">
      <c r="A66" t="n" s="0">
        <v>65.0</v>
      </c>
      <c r="B66" t="s" s="0">
        <v>186</v>
      </c>
      <c r="C66" t="s" s="0">
        <v>63</v>
      </c>
      <c r="D66" t="s" s="0">
        <v>44</v>
      </c>
      <c r="E66" t="s" s="0">
        <v>30</v>
      </c>
      <c r="F66" t="n" s="0">
        <v>1.0</v>
      </c>
      <c r="G66" t="n" s="0">
        <v>0.0</v>
      </c>
      <c r="H66" t="n" s="0">
        <v>11.0</v>
      </c>
      <c r="I66" t="n" s="0">
        <v>0.0</v>
      </c>
      <c r="J66" t="s" s="0">
        <v>187</v>
      </c>
      <c r="K66" t="s" s="0">
        <v>71</v>
      </c>
      <c r="L66" t="n" s="0">
        <v>11.0</v>
      </c>
      <c r="M66" t="n" s="0">
        <v>1.0</v>
      </c>
      <c r="N66" t="b" s="0">
        <v>0</v>
      </c>
      <c r="O66" t="s" s="0">
        <v>78</v>
      </c>
    </row>
    <row r="67">
      <c r="A67" t="n" s="0">
        <v>66.0</v>
      </c>
      <c r="B67" t="s" s="0">
        <v>188</v>
      </c>
      <c r="C67" t="s" s="0">
        <v>135</v>
      </c>
      <c r="D67" t="s" s="0">
        <v>38</v>
      </c>
      <c r="E67" t="s" s="0">
        <v>45</v>
      </c>
      <c r="F67" t="n" s="0">
        <v>0.0</v>
      </c>
      <c r="G67" t="n" s="0">
        <v>0.0</v>
      </c>
      <c r="H67" t="n" s="0">
        <v>0.0</v>
      </c>
      <c r="I67" t="n" s="0">
        <v>0.0</v>
      </c>
      <c r="J67" t="s" s="0">
        <v>137</v>
      </c>
      <c r="K67" t="s" s="0">
        <v>137</v>
      </c>
      <c r="L67" t="n" s="0">
        <v>5.0</v>
      </c>
      <c r="M67" t="n" s="0">
        <v>1.0</v>
      </c>
      <c r="N67" t="b" s="0">
        <v>0</v>
      </c>
      <c r="O67" t="s" s="0">
        <v>66</v>
      </c>
    </row>
    <row r="68">
      <c r="A68" t="n" s="0">
        <v>67.0</v>
      </c>
      <c r="B68" t="s" s="0">
        <v>189</v>
      </c>
      <c r="C68" t="s" s="0">
        <v>63</v>
      </c>
      <c r="D68" t="s" s="0">
        <v>32</v>
      </c>
      <c r="E68" t="s" s="0">
        <v>25</v>
      </c>
      <c r="F68" t="n" s="0">
        <v>1.0</v>
      </c>
      <c r="G68" t="n" s="0">
        <v>0.0</v>
      </c>
      <c r="H68" t="n" s="0">
        <v>5.0</v>
      </c>
      <c r="I68" t="n" s="0">
        <v>0.0</v>
      </c>
      <c r="J68" t="s" s="0">
        <v>171</v>
      </c>
      <c r="K68" t="s" s="0">
        <v>71</v>
      </c>
      <c r="L68" t="n" s="0">
        <v>5.0</v>
      </c>
      <c r="M68" t="n" s="0">
        <v>1.0</v>
      </c>
      <c r="N68" t="b" s="0">
        <v>1</v>
      </c>
      <c r="O68" t="s" s="0">
        <v>66</v>
      </c>
    </row>
    <row r="69">
      <c r="A69" t="n" s="0">
        <v>68.0</v>
      </c>
      <c r="B69" t="s" s="0">
        <v>190</v>
      </c>
      <c r="C69" t="s" s="0">
        <v>63</v>
      </c>
      <c r="D69" t="s" s="0">
        <v>30</v>
      </c>
      <c r="E69" t="s" s="0">
        <v>24</v>
      </c>
      <c r="F69" t="n" s="0">
        <v>0.0</v>
      </c>
      <c r="G69" t="n" s="0">
        <v>1.0</v>
      </c>
      <c r="H69" t="n" s="0">
        <v>1.0</v>
      </c>
      <c r="I69" t="n" s="0">
        <v>5.0</v>
      </c>
      <c r="J69" t="s" s="0">
        <v>161</v>
      </c>
      <c r="K69" t="s" s="0">
        <v>65</v>
      </c>
      <c r="L69" t="n" s="0">
        <v>5.0</v>
      </c>
      <c r="M69" t="n" s="0">
        <v>1.0</v>
      </c>
      <c r="N69" t="b" s="0">
        <v>1</v>
      </c>
      <c r="O69" t="s" s="0">
        <v>66</v>
      </c>
    </row>
    <row r="70">
      <c r="A70" t="n" s="0">
        <v>69.0</v>
      </c>
      <c r="B70" t="s" s="0">
        <v>191</v>
      </c>
      <c r="C70" t="s" s="0">
        <v>63</v>
      </c>
      <c r="D70" t="s" s="0">
        <v>46</v>
      </c>
      <c r="E70" t="s" s="0">
        <v>27</v>
      </c>
      <c r="F70" t="n" s="0">
        <v>1.0</v>
      </c>
      <c r="G70" t="n" s="0">
        <v>0.0</v>
      </c>
      <c r="H70" t="n" s="0">
        <v>5.0</v>
      </c>
      <c r="I70" t="n" s="0">
        <v>2.0</v>
      </c>
      <c r="J70" t="s" s="0">
        <v>181</v>
      </c>
      <c r="K70" t="s" s="0">
        <v>71</v>
      </c>
      <c r="L70" t="n" s="0">
        <v>5.0</v>
      </c>
      <c r="M70" t="n" s="0">
        <v>1.0</v>
      </c>
      <c r="N70" t="b" s="0">
        <v>1</v>
      </c>
      <c r="O70" t="s" s="0">
        <v>66</v>
      </c>
    </row>
    <row r="71">
      <c r="A71" t="n" s="0">
        <v>70.0</v>
      </c>
      <c r="B71" t="s" s="0">
        <v>192</v>
      </c>
      <c r="C71" t="s" s="0">
        <v>63</v>
      </c>
      <c r="D71" t="s" s="0">
        <v>41</v>
      </c>
      <c r="E71" t="s" s="0">
        <v>26</v>
      </c>
      <c r="F71" t="n" s="0">
        <v>1.0</v>
      </c>
      <c r="G71" t="n" s="0">
        <v>0.0</v>
      </c>
      <c r="H71" t="n" s="0">
        <v>5.0</v>
      </c>
      <c r="I71" t="n" s="0">
        <v>3.0</v>
      </c>
      <c r="J71" t="s" s="0">
        <v>156</v>
      </c>
      <c r="K71" t="s" s="0">
        <v>71</v>
      </c>
      <c r="L71" t="n" s="0">
        <v>5.0</v>
      </c>
      <c r="M71" t="n" s="0">
        <v>1.0</v>
      </c>
      <c r="N71" t="b" s="0">
        <v>1</v>
      </c>
      <c r="O71" t="s" s="0">
        <v>66</v>
      </c>
    </row>
    <row r="72">
      <c r="A72" t="n" s="0">
        <v>71.0</v>
      </c>
      <c r="B72" t="s" s="0">
        <v>193</v>
      </c>
      <c r="C72" t="s" s="0">
        <v>63</v>
      </c>
      <c r="D72" t="s" s="0">
        <v>37</v>
      </c>
      <c r="E72" t="s" s="0">
        <v>38</v>
      </c>
      <c r="F72" t="n" s="0">
        <v>0.0</v>
      </c>
      <c r="G72" t="n" s="0">
        <v>1.0</v>
      </c>
      <c r="H72" t="n" s="0">
        <v>2.0</v>
      </c>
      <c r="I72" t="n" s="0">
        <v>5.0</v>
      </c>
      <c r="J72" t="s" s="0">
        <v>152</v>
      </c>
      <c r="K72" t="s" s="0">
        <v>65</v>
      </c>
      <c r="L72" t="n" s="0">
        <v>5.0</v>
      </c>
      <c r="M72" t="n" s="0">
        <v>1.0</v>
      </c>
      <c r="N72" t="b" s="0">
        <v>1</v>
      </c>
      <c r="O72" t="s" s="0">
        <v>66</v>
      </c>
    </row>
    <row r="73">
      <c r="A73" t="n" s="0">
        <v>72.0</v>
      </c>
      <c r="B73" t="s" s="0">
        <v>194</v>
      </c>
      <c r="C73" t="s" s="0">
        <v>63</v>
      </c>
      <c r="D73" t="s" s="0">
        <v>31</v>
      </c>
      <c r="E73" t="s" s="0">
        <v>23</v>
      </c>
      <c r="F73" t="n" s="0">
        <v>0.0</v>
      </c>
      <c r="G73" t="n" s="0">
        <v>1.0</v>
      </c>
      <c r="H73" t="n" s="0">
        <v>4.0</v>
      </c>
      <c r="I73" t="n" s="0">
        <v>6.0</v>
      </c>
      <c r="J73" t="s" s="0">
        <v>195</v>
      </c>
      <c r="K73" t="s" s="0">
        <v>65</v>
      </c>
      <c r="L73" t="n" s="0">
        <v>5.0</v>
      </c>
      <c r="M73" t="n" s="0">
        <v>1.0</v>
      </c>
      <c r="N73" t="b" s="0">
        <v>1</v>
      </c>
      <c r="O73" t="s" s="0">
        <v>66</v>
      </c>
    </row>
    <row r="74">
      <c r="A74" t="n" s="0">
        <v>73.0</v>
      </c>
      <c r="B74" t="s" s="0">
        <v>196</v>
      </c>
      <c r="C74" t="s" s="0">
        <v>63</v>
      </c>
      <c r="D74" t="s" s="0">
        <v>33</v>
      </c>
      <c r="E74" t="s" s="0">
        <v>45</v>
      </c>
      <c r="F74" t="n" s="0">
        <v>0.0</v>
      </c>
      <c r="G74" t="n" s="0">
        <v>1.0</v>
      </c>
      <c r="H74" t="n" s="0">
        <v>1.0</v>
      </c>
      <c r="I74" t="n" s="0">
        <v>5.0</v>
      </c>
      <c r="J74" t="s" s="0">
        <v>161</v>
      </c>
      <c r="K74" t="s" s="0">
        <v>65</v>
      </c>
      <c r="L74" t="n" s="0">
        <v>5.0</v>
      </c>
      <c r="M74" t="n" s="0">
        <v>1.0</v>
      </c>
      <c r="N74" t="b" s="0">
        <v>1</v>
      </c>
      <c r="O74" t="s" s="0">
        <v>66</v>
      </c>
    </row>
    <row r="75">
      <c r="A75" t="n" s="0">
        <v>74.0</v>
      </c>
      <c r="B75" t="s" s="0">
        <v>197</v>
      </c>
      <c r="C75" t="s" s="0">
        <v>63</v>
      </c>
      <c r="D75" t="s" s="0">
        <v>32</v>
      </c>
      <c r="E75" t="s" s="0">
        <v>39</v>
      </c>
      <c r="F75" t="n" s="0">
        <v>1.0</v>
      </c>
      <c r="G75" t="n" s="0">
        <v>0.0</v>
      </c>
      <c r="H75" t="n" s="0">
        <v>5.0</v>
      </c>
      <c r="I75" t="n" s="0">
        <v>1.0</v>
      </c>
      <c r="J75" t="s" s="0">
        <v>173</v>
      </c>
      <c r="K75" t="s" s="0">
        <v>71</v>
      </c>
      <c r="L75" t="n" s="0">
        <v>5.0</v>
      </c>
      <c r="M75" t="n" s="0">
        <v>1.0</v>
      </c>
      <c r="N75" t="b" s="0">
        <v>1</v>
      </c>
      <c r="O75" t="s" s="0">
        <v>66</v>
      </c>
    </row>
    <row r="76">
      <c r="A76" t="n" s="0">
        <v>75.0</v>
      </c>
      <c r="B76" t="s" s="0">
        <v>198</v>
      </c>
      <c r="C76" t="s" s="0">
        <v>63</v>
      </c>
      <c r="D76" t="s" s="0">
        <v>25</v>
      </c>
      <c r="E76" t="s" s="0">
        <v>27</v>
      </c>
      <c r="F76" t="n" s="0">
        <v>1.0</v>
      </c>
      <c r="G76" t="n" s="0">
        <v>0.0</v>
      </c>
      <c r="H76" t="n" s="0">
        <v>5.0</v>
      </c>
      <c r="I76" t="n" s="0">
        <v>1.0</v>
      </c>
      <c r="J76" t="s" s="0">
        <v>173</v>
      </c>
      <c r="K76" t="s" s="0">
        <v>71</v>
      </c>
      <c r="L76" t="n" s="0">
        <v>5.0</v>
      </c>
      <c r="M76" t="n" s="0">
        <v>1.0</v>
      </c>
      <c r="N76" t="b" s="0">
        <v>1</v>
      </c>
      <c r="O76" t="s" s="0">
        <v>66</v>
      </c>
    </row>
    <row r="77">
      <c r="A77" t="n" s="0">
        <v>76.0</v>
      </c>
      <c r="B77" t="s" s="0">
        <v>199</v>
      </c>
      <c r="C77" t="s" s="0">
        <v>63</v>
      </c>
      <c r="D77" t="s" s="0">
        <v>30</v>
      </c>
      <c r="E77" t="s" s="0">
        <v>26</v>
      </c>
      <c r="F77" t="n" s="0">
        <v>1.0</v>
      </c>
      <c r="G77" t="n" s="0">
        <v>0.0</v>
      </c>
      <c r="H77" t="n" s="0">
        <v>5.0</v>
      </c>
      <c r="I77" t="n" s="0">
        <v>2.0</v>
      </c>
      <c r="J77" t="s" s="0">
        <v>181</v>
      </c>
      <c r="K77" t="s" s="0">
        <v>71</v>
      </c>
      <c r="L77" t="n" s="0">
        <v>5.0</v>
      </c>
      <c r="M77" t="n" s="0">
        <v>1.0</v>
      </c>
      <c r="N77" t="b" s="0">
        <v>1</v>
      </c>
      <c r="O77" t="s" s="0">
        <v>66</v>
      </c>
    </row>
    <row r="78">
      <c r="A78" t="n" s="0">
        <v>77.0</v>
      </c>
      <c r="B78" t="s" s="0">
        <v>200</v>
      </c>
      <c r="C78" t="s" s="0">
        <v>63</v>
      </c>
      <c r="D78" t="s" s="0">
        <v>46</v>
      </c>
      <c r="E78" t="s" s="0">
        <v>38</v>
      </c>
      <c r="F78" t="n" s="0">
        <v>1.0</v>
      </c>
      <c r="G78" t="n" s="0">
        <v>0.0</v>
      </c>
      <c r="H78" t="n" s="0">
        <v>8.0</v>
      </c>
      <c r="I78" t="n" s="0">
        <v>6.0</v>
      </c>
      <c r="J78" t="s" s="0">
        <v>201</v>
      </c>
      <c r="K78" t="s" s="0">
        <v>71</v>
      </c>
      <c r="L78" t="n" s="0">
        <v>5.0</v>
      </c>
      <c r="M78" t="n" s="0">
        <v>1.0</v>
      </c>
      <c r="N78" t="b" s="0">
        <v>1</v>
      </c>
      <c r="O78" t="s" s="0">
        <v>66</v>
      </c>
    </row>
    <row r="79">
      <c r="A79" t="n" s="0">
        <v>78.0</v>
      </c>
      <c r="B79" t="s" s="0">
        <v>202</v>
      </c>
      <c r="C79" t="s" s="0">
        <v>63</v>
      </c>
      <c r="D79" t="s" s="0">
        <v>41</v>
      </c>
      <c r="E79" t="s" s="0">
        <v>23</v>
      </c>
      <c r="F79" t="n" s="0">
        <v>1.0</v>
      </c>
      <c r="G79" t="n" s="0">
        <v>0.0</v>
      </c>
      <c r="H79" t="n" s="0">
        <v>5.0</v>
      </c>
      <c r="I79" t="n" s="0">
        <v>2.0</v>
      </c>
      <c r="J79" t="s" s="0">
        <v>181</v>
      </c>
      <c r="K79" t="s" s="0">
        <v>71</v>
      </c>
      <c r="L79" t="n" s="0">
        <v>5.0</v>
      </c>
      <c r="M79" t="n" s="0">
        <v>1.0</v>
      </c>
      <c r="N79" t="b" s="0">
        <v>1</v>
      </c>
      <c r="O79" t="s" s="0">
        <v>66</v>
      </c>
    </row>
    <row r="80">
      <c r="A80" t="n" s="0">
        <v>79.0</v>
      </c>
      <c r="B80" t="s" s="0">
        <v>203</v>
      </c>
      <c r="C80" t="s" s="0">
        <v>63</v>
      </c>
      <c r="D80" t="s" s="0">
        <v>37</v>
      </c>
      <c r="E80" t="s" s="0">
        <v>45</v>
      </c>
      <c r="F80" t="n" s="0">
        <v>0.0</v>
      </c>
      <c r="G80" t="n" s="0">
        <v>1.0</v>
      </c>
      <c r="H80" t="n" s="0">
        <v>1.0</v>
      </c>
      <c r="I80" t="n" s="0">
        <v>5.0</v>
      </c>
      <c r="J80" t="s" s="0">
        <v>161</v>
      </c>
      <c r="K80" t="s" s="0">
        <v>65</v>
      </c>
      <c r="L80" t="n" s="0">
        <v>5.0</v>
      </c>
      <c r="M80" t="n" s="0">
        <v>1.0</v>
      </c>
      <c r="N80" t="b" s="0">
        <v>1</v>
      </c>
      <c r="O80" t="s" s="0">
        <v>66</v>
      </c>
    </row>
    <row r="81">
      <c r="A81" t="n" s="0">
        <v>80.0</v>
      </c>
      <c r="B81" t="s" s="0">
        <v>204</v>
      </c>
      <c r="C81" t="s" s="0">
        <v>63</v>
      </c>
      <c r="D81" t="s" s="0">
        <v>31</v>
      </c>
      <c r="E81" t="s" s="0">
        <v>33</v>
      </c>
      <c r="F81" t="n" s="0">
        <v>1.0</v>
      </c>
      <c r="G81" t="n" s="0">
        <v>0.0</v>
      </c>
      <c r="H81" t="n" s="0">
        <v>5.0</v>
      </c>
      <c r="I81" t="n" s="0">
        <v>2.0</v>
      </c>
      <c r="J81" t="s" s="0">
        <v>181</v>
      </c>
      <c r="K81" t="s" s="0">
        <v>71</v>
      </c>
      <c r="L81" t="n" s="0">
        <v>5.0</v>
      </c>
      <c r="M81" t="n" s="0">
        <v>1.0</v>
      </c>
      <c r="N81" t="b" s="0">
        <v>1</v>
      </c>
      <c r="O81" t="s" s="0">
        <v>66</v>
      </c>
    </row>
    <row r="82">
      <c r="A82" t="n" s="0">
        <v>81.0</v>
      </c>
      <c r="B82" t="s" s="0">
        <v>205</v>
      </c>
      <c r="C82" t="s" s="0">
        <v>63</v>
      </c>
      <c r="D82" t="s" s="0">
        <v>32</v>
      </c>
      <c r="E82" t="s" s="0">
        <v>27</v>
      </c>
      <c r="F82" t="n" s="0">
        <v>1.0</v>
      </c>
      <c r="G82" t="n" s="0">
        <v>0.0</v>
      </c>
      <c r="H82" t="n" s="0">
        <v>5.0</v>
      </c>
      <c r="I82" t="n" s="0">
        <v>1.0</v>
      </c>
      <c r="J82" t="s" s="0">
        <v>173</v>
      </c>
      <c r="K82" t="s" s="0">
        <v>71</v>
      </c>
      <c r="L82" t="n" s="0">
        <v>5.0</v>
      </c>
      <c r="M82" t="n" s="0">
        <v>1.0</v>
      </c>
      <c r="N82" t="b" s="0">
        <v>1</v>
      </c>
      <c r="O82" t="s" s="0">
        <v>66</v>
      </c>
    </row>
    <row r="83">
      <c r="A83" t="n" s="0">
        <v>82.0</v>
      </c>
      <c r="B83" t="s" s="0">
        <v>206</v>
      </c>
      <c r="C83" t="s" s="0">
        <v>63</v>
      </c>
      <c r="D83" t="s" s="0">
        <v>39</v>
      </c>
      <c r="E83" t="s" s="0">
        <v>26</v>
      </c>
      <c r="F83" t="n" s="0">
        <v>1.0</v>
      </c>
      <c r="G83" t="n" s="0">
        <v>0.0</v>
      </c>
      <c r="H83" t="n" s="0">
        <v>5.0</v>
      </c>
      <c r="I83" t="n" s="0">
        <v>2.0</v>
      </c>
      <c r="J83" t="s" s="0">
        <v>181</v>
      </c>
      <c r="K83" t="s" s="0">
        <v>71</v>
      </c>
      <c r="L83" t="n" s="0">
        <v>5.0</v>
      </c>
      <c r="M83" t="n" s="0">
        <v>1.0</v>
      </c>
      <c r="N83" t="b" s="0">
        <v>1</v>
      </c>
      <c r="O83" t="s" s="0">
        <v>66</v>
      </c>
    </row>
    <row r="84">
      <c r="A84" t="n" s="0">
        <v>83.0</v>
      </c>
      <c r="B84" t="s" s="0">
        <v>207</v>
      </c>
      <c r="C84" t="s" s="0">
        <v>63</v>
      </c>
      <c r="D84" t="s" s="0">
        <v>25</v>
      </c>
      <c r="E84" t="s" s="0">
        <v>38</v>
      </c>
      <c r="F84" t="n" s="0">
        <v>1.0</v>
      </c>
      <c r="G84" t="n" s="0">
        <v>0.0</v>
      </c>
      <c r="H84" t="n" s="0">
        <v>8.0</v>
      </c>
      <c r="I84" t="n" s="0">
        <v>6.0</v>
      </c>
      <c r="J84" t="s" s="0">
        <v>201</v>
      </c>
      <c r="K84" t="s" s="0">
        <v>71</v>
      </c>
      <c r="L84" t="n" s="0">
        <v>5.0</v>
      </c>
      <c r="M84" t="n" s="0">
        <v>1.0</v>
      </c>
      <c r="N84" t="b" s="0">
        <v>1</v>
      </c>
      <c r="O84" t="s" s="0">
        <v>66</v>
      </c>
    </row>
    <row r="85">
      <c r="A85" t="n" s="0">
        <v>84.0</v>
      </c>
      <c r="B85" t="s" s="0">
        <v>208</v>
      </c>
      <c r="C85" t="s" s="0">
        <v>63</v>
      </c>
      <c r="D85" t="s" s="0">
        <v>30</v>
      </c>
      <c r="E85" t="s" s="0">
        <v>23</v>
      </c>
      <c r="F85" t="n" s="0">
        <v>0.0</v>
      </c>
      <c r="G85" t="n" s="0">
        <v>1.0</v>
      </c>
      <c r="H85" t="n" s="0">
        <v>1.0</v>
      </c>
      <c r="I85" t="n" s="0">
        <v>5.0</v>
      </c>
      <c r="J85" t="s" s="0">
        <v>161</v>
      </c>
      <c r="K85" t="s" s="0">
        <v>65</v>
      </c>
      <c r="L85" t="n" s="0">
        <v>5.0</v>
      </c>
      <c r="M85" t="n" s="0">
        <v>1.0</v>
      </c>
      <c r="N85" t="b" s="0">
        <v>1</v>
      </c>
      <c r="O85" t="s" s="0">
        <v>66</v>
      </c>
    </row>
    <row r="86">
      <c r="A86" t="n" s="0">
        <v>85.0</v>
      </c>
      <c r="B86" t="s" s="0">
        <v>209</v>
      </c>
      <c r="C86" t="s" s="0">
        <v>63</v>
      </c>
      <c r="D86" t="s" s="0">
        <v>46</v>
      </c>
      <c r="E86" t="s" s="0">
        <v>45</v>
      </c>
      <c r="F86" t="n" s="0">
        <v>0.0</v>
      </c>
      <c r="G86" t="n" s="0">
        <v>1.0</v>
      </c>
      <c r="H86" t="n" s="0">
        <v>3.0</v>
      </c>
      <c r="I86" t="n" s="0">
        <v>5.0</v>
      </c>
      <c r="J86" t="s" s="0">
        <v>159</v>
      </c>
      <c r="K86" t="s" s="0">
        <v>65</v>
      </c>
      <c r="L86" t="n" s="0">
        <v>5.0</v>
      </c>
      <c r="M86" t="n" s="0">
        <v>1.0</v>
      </c>
      <c r="N86" t="b" s="0">
        <v>1</v>
      </c>
      <c r="O86" t="s" s="0">
        <v>66</v>
      </c>
    </row>
    <row r="87">
      <c r="A87" t="n" s="0">
        <v>86.0</v>
      </c>
      <c r="B87" t="s" s="0">
        <v>210</v>
      </c>
      <c r="C87" t="s" s="0">
        <v>63</v>
      </c>
      <c r="D87" t="s" s="0">
        <v>41</v>
      </c>
      <c r="E87" t="s" s="0">
        <v>33</v>
      </c>
      <c r="F87" t="n" s="0">
        <v>1.0</v>
      </c>
      <c r="G87" t="n" s="0">
        <v>0.0</v>
      </c>
      <c r="H87" t="n" s="0">
        <v>5.0</v>
      </c>
      <c r="I87" t="n" s="0">
        <v>3.0</v>
      </c>
      <c r="J87" t="s" s="0">
        <v>156</v>
      </c>
      <c r="K87" t="s" s="0">
        <v>71</v>
      </c>
      <c r="L87" t="n" s="0">
        <v>5.0</v>
      </c>
      <c r="M87" t="n" s="0">
        <v>1.0</v>
      </c>
      <c r="N87" t="b" s="0">
        <v>1</v>
      </c>
      <c r="O87" t="s" s="0">
        <v>66</v>
      </c>
    </row>
    <row r="88">
      <c r="A88" t="n" s="0">
        <v>87.0</v>
      </c>
      <c r="B88" t="s" s="0">
        <v>211</v>
      </c>
      <c r="C88" t="s" s="0">
        <v>63</v>
      </c>
      <c r="D88" t="s" s="0">
        <v>37</v>
      </c>
      <c r="E88" t="s" s="0">
        <v>31</v>
      </c>
      <c r="F88" t="n" s="0">
        <v>0.0</v>
      </c>
      <c r="G88" t="n" s="0">
        <v>1.0</v>
      </c>
      <c r="H88" t="n" s="0">
        <v>2.0</v>
      </c>
      <c r="I88" t="n" s="0">
        <v>5.0</v>
      </c>
      <c r="J88" t="s" s="0">
        <v>152</v>
      </c>
      <c r="K88" t="s" s="0">
        <v>65</v>
      </c>
      <c r="L88" t="n" s="0">
        <v>5.0</v>
      </c>
      <c r="M88" t="n" s="0">
        <v>1.0</v>
      </c>
      <c r="N88" t="b" s="0">
        <v>1</v>
      </c>
      <c r="O88" t="s" s="0">
        <v>66</v>
      </c>
    </row>
    <row r="89">
      <c r="A89" t="n" s="0">
        <v>88.0</v>
      </c>
      <c r="B89" t="s" s="0">
        <v>212</v>
      </c>
      <c r="C89" t="s" s="0">
        <v>63</v>
      </c>
      <c r="D89" t="s" s="0">
        <v>32</v>
      </c>
      <c r="E89" t="s" s="0">
        <v>26</v>
      </c>
      <c r="F89" t="n" s="0">
        <v>1.0</v>
      </c>
      <c r="G89" t="n" s="0">
        <v>0.0</v>
      </c>
      <c r="H89" t="n" s="0">
        <v>5.0</v>
      </c>
      <c r="I89" t="n" s="0">
        <v>1.0</v>
      </c>
      <c r="J89" t="s" s="0">
        <v>173</v>
      </c>
      <c r="K89" t="s" s="0">
        <v>71</v>
      </c>
      <c r="L89" t="n" s="0">
        <v>5.0</v>
      </c>
      <c r="M89" t="n" s="0">
        <v>1.0</v>
      </c>
      <c r="N89" t="b" s="0">
        <v>1</v>
      </c>
      <c r="O89" t="s" s="0">
        <v>66</v>
      </c>
    </row>
    <row r="90">
      <c r="A90" t="n" s="0">
        <v>89.0</v>
      </c>
      <c r="B90" t="s" s="0">
        <v>213</v>
      </c>
      <c r="C90" t="s" s="0">
        <v>63</v>
      </c>
      <c r="D90" t="s" s="0">
        <v>27</v>
      </c>
      <c r="E90" t="s" s="0">
        <v>38</v>
      </c>
      <c r="F90" t="n" s="0">
        <v>0.0</v>
      </c>
      <c r="G90" t="n" s="0">
        <v>1.0</v>
      </c>
      <c r="H90" t="n" s="0">
        <v>1.0</v>
      </c>
      <c r="I90" t="n" s="0">
        <v>5.0</v>
      </c>
      <c r="J90" t="s" s="0">
        <v>161</v>
      </c>
      <c r="K90" t="s" s="0">
        <v>65</v>
      </c>
      <c r="L90" t="n" s="0">
        <v>5.0</v>
      </c>
      <c r="M90" t="n" s="0">
        <v>1.0</v>
      </c>
      <c r="N90" t="b" s="0">
        <v>1</v>
      </c>
      <c r="O90" t="s" s="0">
        <v>66</v>
      </c>
    </row>
    <row r="91">
      <c r="A91" t="n" s="0">
        <v>90.0</v>
      </c>
      <c r="B91" t="s" s="0">
        <v>214</v>
      </c>
      <c r="C91" t="s" s="0">
        <v>63</v>
      </c>
      <c r="D91" t="s" s="0">
        <v>39</v>
      </c>
      <c r="E91" t="s" s="0">
        <v>23</v>
      </c>
      <c r="F91" t="n" s="0">
        <v>0.0</v>
      </c>
      <c r="G91" t="n" s="0">
        <v>1.0</v>
      </c>
      <c r="H91" t="n" s="0">
        <v>4.0</v>
      </c>
      <c r="I91" t="n" s="0">
        <v>6.0</v>
      </c>
      <c r="J91" t="s" s="0">
        <v>195</v>
      </c>
      <c r="K91" t="s" s="0">
        <v>65</v>
      </c>
      <c r="L91" t="n" s="0">
        <v>5.0</v>
      </c>
      <c r="M91" t="n" s="0">
        <v>1.0</v>
      </c>
      <c r="N91" t="b" s="0">
        <v>1</v>
      </c>
      <c r="O91" t="s" s="0">
        <v>66</v>
      </c>
    </row>
    <row r="92">
      <c r="A92" t="n" s="0">
        <v>91.0</v>
      </c>
      <c r="B92" t="s" s="0">
        <v>215</v>
      </c>
      <c r="C92" t="s" s="0">
        <v>63</v>
      </c>
      <c r="D92" t="s" s="0">
        <v>25</v>
      </c>
      <c r="E92" t="s" s="0">
        <v>45</v>
      </c>
      <c r="F92" t="n" s="0">
        <v>0.0</v>
      </c>
      <c r="G92" t="n" s="0">
        <v>1.0</v>
      </c>
      <c r="H92" t="n" s="0">
        <v>2.0</v>
      </c>
      <c r="I92" t="n" s="0">
        <v>5.0</v>
      </c>
      <c r="J92" t="s" s="0">
        <v>152</v>
      </c>
      <c r="K92" t="s" s="0">
        <v>65</v>
      </c>
      <c r="L92" t="n" s="0">
        <v>5.0</v>
      </c>
      <c r="M92" t="n" s="0">
        <v>1.0</v>
      </c>
      <c r="N92" t="b" s="0">
        <v>1</v>
      </c>
      <c r="O92" t="s" s="0">
        <v>66</v>
      </c>
    </row>
    <row r="93">
      <c r="A93" t="n" s="0">
        <v>92.0</v>
      </c>
      <c r="B93" t="s" s="0">
        <v>216</v>
      </c>
      <c r="C93" t="s" s="0">
        <v>63</v>
      </c>
      <c r="D93" t="s" s="0">
        <v>30</v>
      </c>
      <c r="E93" t="s" s="0">
        <v>33</v>
      </c>
      <c r="F93" t="n" s="0">
        <v>0.0</v>
      </c>
      <c r="G93" t="n" s="0">
        <v>1.0</v>
      </c>
      <c r="H93" t="n" s="0">
        <v>4.0</v>
      </c>
      <c r="I93" t="n" s="0">
        <v>6.0</v>
      </c>
      <c r="J93" t="s" s="0">
        <v>195</v>
      </c>
      <c r="K93" t="s" s="0">
        <v>65</v>
      </c>
      <c r="L93" t="n" s="0">
        <v>5.0</v>
      </c>
      <c r="M93" t="n" s="0">
        <v>1.0</v>
      </c>
      <c r="N93" t="b" s="0">
        <v>1</v>
      </c>
      <c r="O93" t="s" s="0">
        <v>66</v>
      </c>
    </row>
    <row r="94">
      <c r="A94" t="n" s="0">
        <v>93.0</v>
      </c>
      <c r="B94" t="s" s="0">
        <v>217</v>
      </c>
      <c r="C94" t="s" s="0">
        <v>63</v>
      </c>
      <c r="D94" t="s" s="0">
        <v>46</v>
      </c>
      <c r="E94" t="s" s="0">
        <v>31</v>
      </c>
      <c r="F94" t="n" s="0">
        <v>0.0</v>
      </c>
      <c r="G94" t="n" s="0">
        <v>1.0</v>
      </c>
      <c r="H94" t="n" s="0">
        <v>0.0</v>
      </c>
      <c r="I94" t="n" s="0">
        <v>5.0</v>
      </c>
      <c r="J94" t="s" s="0">
        <v>218</v>
      </c>
      <c r="K94" t="s" s="0">
        <v>65</v>
      </c>
      <c r="L94" t="n" s="0">
        <v>5.0</v>
      </c>
      <c r="M94" t="n" s="0">
        <v>1.0</v>
      </c>
      <c r="N94" t="b" s="0">
        <v>1</v>
      </c>
      <c r="O94" t="s" s="0">
        <v>66</v>
      </c>
    </row>
    <row r="95">
      <c r="A95" t="n" s="0">
        <v>94.0</v>
      </c>
      <c r="B95" t="s" s="0">
        <v>219</v>
      </c>
      <c r="C95" t="s" s="0">
        <v>63</v>
      </c>
      <c r="D95" t="s" s="0">
        <v>41</v>
      </c>
      <c r="E95" t="s" s="0">
        <v>37</v>
      </c>
      <c r="F95" t="n" s="0">
        <v>1.0</v>
      </c>
      <c r="G95" t="n" s="0">
        <v>0.0</v>
      </c>
      <c r="H95" t="n" s="0">
        <v>5.0</v>
      </c>
      <c r="I95" t="n" s="0">
        <v>2.0</v>
      </c>
      <c r="J95" t="s" s="0">
        <v>181</v>
      </c>
      <c r="K95" t="s" s="0">
        <v>71</v>
      </c>
      <c r="L95" t="n" s="0">
        <v>5.0</v>
      </c>
      <c r="M95" t="n" s="0">
        <v>1.0</v>
      </c>
      <c r="N95" t="b" s="0">
        <v>1</v>
      </c>
      <c r="O95" t="s" s="0">
        <v>66</v>
      </c>
    </row>
    <row r="96">
      <c r="A96" t="n" s="0">
        <v>95.0</v>
      </c>
      <c r="B96" t="s" s="0">
        <v>220</v>
      </c>
      <c r="C96" t="s" s="0">
        <v>63</v>
      </c>
      <c r="D96" t="s" s="0">
        <v>32</v>
      </c>
      <c r="E96" t="s" s="0">
        <v>38</v>
      </c>
      <c r="F96" t="n" s="0">
        <v>1.0</v>
      </c>
      <c r="G96" t="n" s="0">
        <v>0.0</v>
      </c>
      <c r="H96" t="n" s="0">
        <v>5.0</v>
      </c>
      <c r="I96" t="n" s="0">
        <v>1.0</v>
      </c>
      <c r="J96" t="s" s="0">
        <v>173</v>
      </c>
      <c r="K96" t="s" s="0">
        <v>71</v>
      </c>
      <c r="L96" t="n" s="0">
        <v>5.0</v>
      </c>
      <c r="M96" t="n" s="0">
        <v>1.0</v>
      </c>
      <c r="N96" t="b" s="0">
        <v>1</v>
      </c>
      <c r="O96" t="s" s="0">
        <v>66</v>
      </c>
    </row>
    <row r="97">
      <c r="A97" t="n" s="0">
        <v>96.0</v>
      </c>
      <c r="B97" t="s" s="0">
        <v>221</v>
      </c>
      <c r="C97" t="s" s="0">
        <v>63</v>
      </c>
      <c r="D97" t="s" s="0">
        <v>26</v>
      </c>
      <c r="E97" t="s" s="0">
        <v>23</v>
      </c>
      <c r="F97" t="n" s="0">
        <v>0.0</v>
      </c>
      <c r="G97" t="n" s="0">
        <v>1.0</v>
      </c>
      <c r="H97" t="n" s="0">
        <v>1.0</v>
      </c>
      <c r="I97" t="n" s="0">
        <v>5.0</v>
      </c>
      <c r="J97" t="s" s="0">
        <v>161</v>
      </c>
      <c r="K97" t="s" s="0">
        <v>65</v>
      </c>
      <c r="L97" t="n" s="0">
        <v>5.0</v>
      </c>
      <c r="M97" t="n" s="0">
        <v>1.0</v>
      </c>
      <c r="N97" t="b" s="0">
        <v>1</v>
      </c>
      <c r="O97" t="s" s="0">
        <v>66</v>
      </c>
    </row>
    <row r="98">
      <c r="A98" t="n" s="0">
        <v>97.0</v>
      </c>
      <c r="B98" t="s" s="0">
        <v>222</v>
      </c>
      <c r="C98" t="s" s="0">
        <v>63</v>
      </c>
      <c r="D98" t="s" s="0">
        <v>27</v>
      </c>
      <c r="E98" t="s" s="0">
        <v>45</v>
      </c>
      <c r="F98" t="n" s="0">
        <v>0.0</v>
      </c>
      <c r="G98" t="n" s="0">
        <v>1.0</v>
      </c>
      <c r="H98" t="n" s="0">
        <v>2.0</v>
      </c>
      <c r="I98" t="n" s="0">
        <v>5.0</v>
      </c>
      <c r="J98" t="s" s="0">
        <v>152</v>
      </c>
      <c r="K98" t="s" s="0">
        <v>65</v>
      </c>
      <c r="L98" t="n" s="0">
        <v>5.0</v>
      </c>
      <c r="M98" t="n" s="0">
        <v>1.0</v>
      </c>
      <c r="N98" t="b" s="0">
        <v>1</v>
      </c>
      <c r="O98" t="s" s="0">
        <v>66</v>
      </c>
    </row>
    <row r="99">
      <c r="A99" t="n" s="0">
        <v>98.0</v>
      </c>
      <c r="B99" t="s" s="0">
        <v>223</v>
      </c>
      <c r="C99" t="s" s="0">
        <v>63</v>
      </c>
      <c r="D99" t="s" s="0">
        <v>39</v>
      </c>
      <c r="E99" t="s" s="0">
        <v>33</v>
      </c>
      <c r="F99" t="n" s="0">
        <v>1.0</v>
      </c>
      <c r="G99" t="n" s="0">
        <v>0.0</v>
      </c>
      <c r="H99" t="n" s="0">
        <v>6.0</v>
      </c>
      <c r="I99" t="n" s="0">
        <v>4.0</v>
      </c>
      <c r="J99" t="s" s="0">
        <v>224</v>
      </c>
      <c r="K99" t="s" s="0">
        <v>71</v>
      </c>
      <c r="L99" t="n" s="0">
        <v>5.0</v>
      </c>
      <c r="M99" t="n" s="0">
        <v>1.0</v>
      </c>
      <c r="N99" t="b" s="0">
        <v>1</v>
      </c>
      <c r="O99" t="s" s="0">
        <v>66</v>
      </c>
    </row>
    <row r="100">
      <c r="A100" t="n" s="0">
        <v>99.0</v>
      </c>
      <c r="B100" t="s" s="0">
        <v>225</v>
      </c>
      <c r="C100" t="s" s="0">
        <v>63</v>
      </c>
      <c r="D100" t="s" s="0">
        <v>25</v>
      </c>
      <c r="E100" t="s" s="0">
        <v>31</v>
      </c>
      <c r="F100" t="n" s="0">
        <v>1.0</v>
      </c>
      <c r="G100" t="n" s="0">
        <v>0.0</v>
      </c>
      <c r="H100" t="n" s="0">
        <v>5.0</v>
      </c>
      <c r="I100" t="n" s="0">
        <v>3.0</v>
      </c>
      <c r="J100" t="s" s="0">
        <v>156</v>
      </c>
      <c r="K100" t="s" s="0">
        <v>71</v>
      </c>
      <c r="L100" t="n" s="0">
        <v>5.0</v>
      </c>
      <c r="M100" t="n" s="0">
        <v>1.0</v>
      </c>
      <c r="N100" t="b" s="0">
        <v>1</v>
      </c>
      <c r="O100" t="s" s="0">
        <v>66</v>
      </c>
    </row>
    <row r="101">
      <c r="A101" t="n" s="0">
        <v>100.0</v>
      </c>
      <c r="B101" t="s" s="0">
        <v>226</v>
      </c>
      <c r="C101" t="s" s="0">
        <v>63</v>
      </c>
      <c r="D101" t="s" s="0">
        <v>30</v>
      </c>
      <c r="E101" t="s" s="0">
        <v>37</v>
      </c>
      <c r="F101" t="n" s="0">
        <v>0.0</v>
      </c>
      <c r="G101" t="n" s="0">
        <v>1.0</v>
      </c>
      <c r="H101" t="n" s="0">
        <v>3.0</v>
      </c>
      <c r="I101" t="n" s="0">
        <v>5.0</v>
      </c>
      <c r="J101" t="s" s="0">
        <v>159</v>
      </c>
      <c r="K101" t="s" s="0">
        <v>65</v>
      </c>
      <c r="L101" t="n" s="0">
        <v>5.0</v>
      </c>
      <c r="M101" t="n" s="0">
        <v>1.0</v>
      </c>
      <c r="N101" t="b" s="0">
        <v>1</v>
      </c>
      <c r="O101" t="s" s="0">
        <v>66</v>
      </c>
    </row>
    <row r="102">
      <c r="A102" t="n" s="0">
        <v>101.0</v>
      </c>
      <c r="B102" t="s" s="0">
        <v>227</v>
      </c>
      <c r="C102" t="s" s="0">
        <v>63</v>
      </c>
      <c r="D102" t="s" s="0">
        <v>46</v>
      </c>
      <c r="E102" t="s" s="0">
        <v>41</v>
      </c>
      <c r="F102" t="n" s="0">
        <v>1.0</v>
      </c>
      <c r="G102" t="n" s="0">
        <v>0.0</v>
      </c>
      <c r="H102" t="n" s="0">
        <v>5.0</v>
      </c>
      <c r="I102" t="n" s="0">
        <v>3.0</v>
      </c>
      <c r="J102" t="s" s="0">
        <v>156</v>
      </c>
      <c r="K102" t="s" s="0">
        <v>71</v>
      </c>
      <c r="L102" t="n" s="0">
        <v>5.0</v>
      </c>
      <c r="M102" t="n" s="0">
        <v>1.0</v>
      </c>
      <c r="N102" t="b" s="0">
        <v>1</v>
      </c>
      <c r="O102" t="s" s="0">
        <v>66</v>
      </c>
    </row>
    <row r="103">
      <c r="A103" t="n" s="0">
        <v>102.0</v>
      </c>
      <c r="B103" t="s" s="0">
        <v>228</v>
      </c>
      <c r="C103" t="s" s="0">
        <v>63</v>
      </c>
      <c r="D103" t="s" s="0">
        <v>32</v>
      </c>
      <c r="E103" t="s" s="0">
        <v>23</v>
      </c>
      <c r="F103" t="n" s="0">
        <v>0.0</v>
      </c>
      <c r="G103" t="n" s="0">
        <v>1.0</v>
      </c>
      <c r="H103" t="n" s="0">
        <v>3.0</v>
      </c>
      <c r="I103" t="n" s="0">
        <v>5.0</v>
      </c>
      <c r="J103" t="s" s="0">
        <v>159</v>
      </c>
      <c r="K103" t="s" s="0">
        <v>65</v>
      </c>
      <c r="L103" t="n" s="0">
        <v>5.0</v>
      </c>
      <c r="M103" t="n" s="0">
        <v>1.0</v>
      </c>
      <c r="N103" t="b" s="0">
        <v>1</v>
      </c>
      <c r="O103" t="s" s="0">
        <v>66</v>
      </c>
    </row>
    <row r="104">
      <c r="A104" t="n" s="0">
        <v>103.0</v>
      </c>
      <c r="B104" t="s" s="0">
        <v>229</v>
      </c>
      <c r="C104" t="s" s="0">
        <v>63</v>
      </c>
      <c r="D104" t="s" s="0">
        <v>38</v>
      </c>
      <c r="E104" t="s" s="0">
        <v>45</v>
      </c>
      <c r="F104" t="n" s="0">
        <v>0.0</v>
      </c>
      <c r="G104" t="n" s="0">
        <v>1.0</v>
      </c>
      <c r="H104" t="n" s="0">
        <v>1.0</v>
      </c>
      <c r="I104" t="n" s="0">
        <v>5.0</v>
      </c>
      <c r="J104" t="s" s="0">
        <v>161</v>
      </c>
      <c r="K104" t="s" s="0">
        <v>65</v>
      </c>
      <c r="L104" t="n" s="0">
        <v>5.0</v>
      </c>
      <c r="M104" t="n" s="0">
        <v>1.0</v>
      </c>
      <c r="N104" t="b" s="0">
        <v>1</v>
      </c>
      <c r="O104" t="s" s="0">
        <v>66</v>
      </c>
    </row>
    <row r="105">
      <c r="A105" t="n" s="0">
        <v>104.0</v>
      </c>
      <c r="B105" t="s" s="0">
        <v>230</v>
      </c>
      <c r="C105" t="s" s="0">
        <v>63</v>
      </c>
      <c r="D105" t="s" s="0">
        <v>26</v>
      </c>
      <c r="E105" t="s" s="0">
        <v>33</v>
      </c>
      <c r="F105" t="n" s="0">
        <v>1.0</v>
      </c>
      <c r="G105" t="n" s="0">
        <v>0.0</v>
      </c>
      <c r="H105" t="n" s="0">
        <v>8.0</v>
      </c>
      <c r="I105" t="n" s="0">
        <v>6.0</v>
      </c>
      <c r="J105" t="s" s="0">
        <v>201</v>
      </c>
      <c r="K105" t="s" s="0">
        <v>71</v>
      </c>
      <c r="L105" t="n" s="0">
        <v>5.0</v>
      </c>
      <c r="M105" t="n" s="0">
        <v>1.0</v>
      </c>
      <c r="N105" t="b" s="0">
        <v>1</v>
      </c>
      <c r="O105" t="s" s="0">
        <v>66</v>
      </c>
    </row>
    <row r="106">
      <c r="A106" t="n" s="0">
        <v>105.0</v>
      </c>
      <c r="B106" t="s" s="0">
        <v>231</v>
      </c>
      <c r="C106" t="s" s="0">
        <v>63</v>
      </c>
      <c r="D106" t="s" s="0">
        <v>27</v>
      </c>
      <c r="E106" t="s" s="0">
        <v>31</v>
      </c>
      <c r="F106" t="n" s="0">
        <v>0.0</v>
      </c>
      <c r="G106" t="n" s="0">
        <v>1.0</v>
      </c>
      <c r="H106" t="n" s="0">
        <v>0.0</v>
      </c>
      <c r="I106" t="n" s="0">
        <v>5.0</v>
      </c>
      <c r="J106" t="s" s="0">
        <v>218</v>
      </c>
      <c r="K106" t="s" s="0">
        <v>65</v>
      </c>
      <c r="L106" t="n" s="0">
        <v>5.0</v>
      </c>
      <c r="M106" t="n" s="0">
        <v>1.0</v>
      </c>
      <c r="N106" t="b" s="0">
        <v>1</v>
      </c>
      <c r="O106" t="s" s="0">
        <v>66</v>
      </c>
    </row>
    <row r="107">
      <c r="A107" t="n" s="0">
        <v>106.0</v>
      </c>
      <c r="B107" t="s" s="0">
        <v>232</v>
      </c>
      <c r="C107" t="s" s="0">
        <v>63</v>
      </c>
      <c r="D107" t="s" s="0">
        <v>39</v>
      </c>
      <c r="E107" t="s" s="0">
        <v>37</v>
      </c>
      <c r="F107" t="n" s="0">
        <v>1.0</v>
      </c>
      <c r="G107" t="n" s="0">
        <v>0.0</v>
      </c>
      <c r="H107" t="n" s="0">
        <v>5.0</v>
      </c>
      <c r="I107" t="n" s="0">
        <v>1.0</v>
      </c>
      <c r="J107" t="s" s="0">
        <v>173</v>
      </c>
      <c r="K107" t="s" s="0">
        <v>71</v>
      </c>
      <c r="L107" t="n" s="0">
        <v>5.0</v>
      </c>
      <c r="M107" t="n" s="0">
        <v>1.0</v>
      </c>
      <c r="N107" t="b" s="0">
        <v>1</v>
      </c>
      <c r="O107" t="s" s="0">
        <v>66</v>
      </c>
    </row>
    <row r="108">
      <c r="A108" t="n" s="0">
        <v>107.0</v>
      </c>
      <c r="B108" t="s" s="0">
        <v>233</v>
      </c>
      <c r="C108" t="s" s="0">
        <v>63</v>
      </c>
      <c r="D108" t="s" s="0">
        <v>25</v>
      </c>
      <c r="E108" t="s" s="0">
        <v>41</v>
      </c>
      <c r="F108" t="n" s="0">
        <v>1.0</v>
      </c>
      <c r="G108" t="n" s="0">
        <v>0.0</v>
      </c>
      <c r="H108" t="n" s="0">
        <v>7.0</v>
      </c>
      <c r="I108" t="n" s="0">
        <v>5.0</v>
      </c>
      <c r="J108" t="s" s="0">
        <v>234</v>
      </c>
      <c r="K108" t="s" s="0">
        <v>71</v>
      </c>
      <c r="L108" t="n" s="0">
        <v>5.0</v>
      </c>
      <c r="M108" t="n" s="0">
        <v>1.0</v>
      </c>
      <c r="N108" t="b" s="0">
        <v>1</v>
      </c>
      <c r="O108" t="s" s="0">
        <v>66</v>
      </c>
    </row>
    <row r="109">
      <c r="A109" t="n" s="0">
        <v>108.0</v>
      </c>
      <c r="B109" t="s" s="0">
        <v>235</v>
      </c>
      <c r="C109" t="s" s="0">
        <v>63</v>
      </c>
      <c r="D109" t="s" s="0">
        <v>30</v>
      </c>
      <c r="E109" t="s" s="0">
        <v>46</v>
      </c>
      <c r="F109" t="n" s="0">
        <v>1.0</v>
      </c>
      <c r="G109" t="n" s="0">
        <v>0.0</v>
      </c>
      <c r="H109" t="n" s="0">
        <v>5.0</v>
      </c>
      <c r="I109" t="n" s="0">
        <v>3.0</v>
      </c>
      <c r="J109" t="s" s="0">
        <v>156</v>
      </c>
      <c r="K109" t="s" s="0">
        <v>71</v>
      </c>
      <c r="L109" t="n" s="0">
        <v>5.0</v>
      </c>
      <c r="M109" t="n" s="0">
        <v>1.0</v>
      </c>
      <c r="N109" t="b" s="0">
        <v>1</v>
      </c>
      <c r="O109" t="s" s="0">
        <v>66</v>
      </c>
    </row>
    <row r="110">
      <c r="A110" t="n" s="0">
        <v>109.0</v>
      </c>
      <c r="B110" t="s" s="0">
        <v>236</v>
      </c>
      <c r="C110" t="s" s="0">
        <v>63</v>
      </c>
      <c r="D110" t="s" s="0">
        <v>32</v>
      </c>
      <c r="E110" t="s" s="0">
        <v>45</v>
      </c>
      <c r="F110" t="n" s="0">
        <v>1.0</v>
      </c>
      <c r="G110" t="n" s="0">
        <v>0.0</v>
      </c>
      <c r="H110" t="n" s="0">
        <v>5.0</v>
      </c>
      <c r="I110" t="n" s="0">
        <v>1.0</v>
      </c>
      <c r="J110" t="s" s="0">
        <v>173</v>
      </c>
      <c r="K110" t="s" s="0">
        <v>71</v>
      </c>
      <c r="L110" t="n" s="0">
        <v>5.0</v>
      </c>
      <c r="M110" t="n" s="0">
        <v>1.0</v>
      </c>
      <c r="N110" t="b" s="0">
        <v>1</v>
      </c>
      <c r="O110" t="s" s="0">
        <v>66</v>
      </c>
    </row>
    <row r="111">
      <c r="A111" t="n" s="0">
        <v>110.0</v>
      </c>
      <c r="B111" t="s" s="0">
        <v>237</v>
      </c>
      <c r="C111" t="s" s="0">
        <v>63</v>
      </c>
      <c r="D111" t="s" s="0">
        <v>23</v>
      </c>
      <c r="E111" t="s" s="0">
        <v>33</v>
      </c>
      <c r="F111" t="n" s="0">
        <v>1.0</v>
      </c>
      <c r="G111" t="n" s="0">
        <v>0.0</v>
      </c>
      <c r="H111" t="n" s="0">
        <v>5.0</v>
      </c>
      <c r="I111" t="n" s="0">
        <v>1.0</v>
      </c>
      <c r="J111" t="s" s="0">
        <v>173</v>
      </c>
      <c r="K111" t="s" s="0">
        <v>71</v>
      </c>
      <c r="L111" t="n" s="0">
        <v>5.0</v>
      </c>
      <c r="M111" t="n" s="0">
        <v>1.0</v>
      </c>
      <c r="N111" t="b" s="0">
        <v>1</v>
      </c>
      <c r="O111" t="s" s="0">
        <v>66</v>
      </c>
    </row>
    <row r="112">
      <c r="A112" t="n" s="0">
        <v>111.0</v>
      </c>
      <c r="B112" t="s" s="0">
        <v>238</v>
      </c>
      <c r="C112" t="s" s="0">
        <v>63</v>
      </c>
      <c r="D112" t="s" s="0">
        <v>38</v>
      </c>
      <c r="E112" t="s" s="0">
        <v>31</v>
      </c>
      <c r="F112" t="n" s="0">
        <v>1.0</v>
      </c>
      <c r="G112" t="n" s="0">
        <v>0.0</v>
      </c>
      <c r="H112" t="n" s="0">
        <v>5.0</v>
      </c>
      <c r="I112" t="n" s="0">
        <v>3.0</v>
      </c>
      <c r="J112" t="s" s="0">
        <v>156</v>
      </c>
      <c r="K112" t="s" s="0">
        <v>71</v>
      </c>
      <c r="L112" t="n" s="0">
        <v>5.0</v>
      </c>
      <c r="M112" t="n" s="0">
        <v>1.0</v>
      </c>
      <c r="N112" t="b" s="0">
        <v>1</v>
      </c>
      <c r="O112" t="s" s="0">
        <v>66</v>
      </c>
    </row>
    <row r="113">
      <c r="A113" t="n" s="0">
        <v>112.0</v>
      </c>
      <c r="B113" t="s" s="0">
        <v>239</v>
      </c>
      <c r="C113" t="s" s="0">
        <v>63</v>
      </c>
      <c r="D113" t="s" s="0">
        <v>26</v>
      </c>
      <c r="E113" t="s" s="0">
        <v>37</v>
      </c>
      <c r="F113" t="n" s="0">
        <v>1.0</v>
      </c>
      <c r="G113" t="n" s="0">
        <v>0.0</v>
      </c>
      <c r="H113" t="n" s="0">
        <v>5.0</v>
      </c>
      <c r="I113" t="n" s="0">
        <v>1.0</v>
      </c>
      <c r="J113" t="s" s="0">
        <v>173</v>
      </c>
      <c r="K113" t="s" s="0">
        <v>71</v>
      </c>
      <c r="L113" t="n" s="0">
        <v>5.0</v>
      </c>
      <c r="M113" t="n" s="0">
        <v>1.0</v>
      </c>
      <c r="N113" t="b" s="0">
        <v>1</v>
      </c>
      <c r="O113" t="s" s="0">
        <v>66</v>
      </c>
    </row>
    <row r="114">
      <c r="A114" t="n" s="0">
        <v>113.0</v>
      </c>
      <c r="B114" t="s" s="0">
        <v>240</v>
      </c>
      <c r="C114" t="s" s="0">
        <v>63</v>
      </c>
      <c r="D114" t="s" s="0">
        <v>27</v>
      </c>
      <c r="E114" t="s" s="0">
        <v>41</v>
      </c>
      <c r="F114" t="n" s="0">
        <v>0.0</v>
      </c>
      <c r="G114" t="n" s="0">
        <v>1.0</v>
      </c>
      <c r="H114" t="n" s="0">
        <v>1.0</v>
      </c>
      <c r="I114" t="n" s="0">
        <v>5.0</v>
      </c>
      <c r="J114" t="s" s="0">
        <v>161</v>
      </c>
      <c r="K114" t="s" s="0">
        <v>65</v>
      </c>
      <c r="L114" t="n" s="0">
        <v>5.0</v>
      </c>
      <c r="M114" t="n" s="0">
        <v>1.0</v>
      </c>
      <c r="N114" t="b" s="0">
        <v>1</v>
      </c>
      <c r="O114" t="s" s="0">
        <v>66</v>
      </c>
    </row>
    <row r="115">
      <c r="A115" t="n" s="0">
        <v>114.0</v>
      </c>
      <c r="B115" t="s" s="0">
        <v>241</v>
      </c>
      <c r="C115" t="s" s="0">
        <v>63</v>
      </c>
      <c r="D115" t="s" s="0">
        <v>39</v>
      </c>
      <c r="E115" t="s" s="0">
        <v>46</v>
      </c>
      <c r="F115" t="n" s="0">
        <v>1.0</v>
      </c>
      <c r="G115" t="n" s="0">
        <v>0.0</v>
      </c>
      <c r="H115" t="n" s="0">
        <v>5.0</v>
      </c>
      <c r="I115" t="n" s="0">
        <v>0.0</v>
      </c>
      <c r="J115" t="s" s="0">
        <v>171</v>
      </c>
      <c r="K115" t="s" s="0">
        <v>71</v>
      </c>
      <c r="L115" t="n" s="0">
        <v>5.0</v>
      </c>
      <c r="M115" t="n" s="0">
        <v>1.0</v>
      </c>
      <c r="N115" t="b" s="0">
        <v>1</v>
      </c>
      <c r="O115" t="s" s="0">
        <v>66</v>
      </c>
    </row>
    <row r="116">
      <c r="A116" t="n" s="0">
        <v>115.0</v>
      </c>
      <c r="B116" t="s" s="0">
        <v>242</v>
      </c>
      <c r="C116" t="s" s="0">
        <v>63</v>
      </c>
      <c r="D116" t="s" s="0">
        <v>25</v>
      </c>
      <c r="E116" t="s" s="0">
        <v>30</v>
      </c>
      <c r="F116" t="n" s="0">
        <v>1.0</v>
      </c>
      <c r="G116" t="n" s="0">
        <v>0.0</v>
      </c>
      <c r="H116" t="n" s="0">
        <v>5.0</v>
      </c>
      <c r="I116" t="n" s="0">
        <v>3.0</v>
      </c>
      <c r="J116" t="s" s="0">
        <v>156</v>
      </c>
      <c r="K116" t="s" s="0">
        <v>71</v>
      </c>
      <c r="L116" t="n" s="0">
        <v>5.0</v>
      </c>
      <c r="M116" t="n" s="0">
        <v>1.0</v>
      </c>
      <c r="N116" t="b" s="0">
        <v>1</v>
      </c>
      <c r="O116" t="s" s="0">
        <v>66</v>
      </c>
    </row>
    <row r="117">
      <c r="A117" t="n" s="0">
        <v>116.0</v>
      </c>
      <c r="B117" t="s" s="0">
        <v>243</v>
      </c>
      <c r="C117" t="s" s="0">
        <v>63</v>
      </c>
      <c r="D117" t="s" s="0">
        <v>32</v>
      </c>
      <c r="E117" t="s" s="0">
        <v>33</v>
      </c>
      <c r="F117" t="n" s="0">
        <v>1.0</v>
      </c>
      <c r="G117" t="n" s="0">
        <v>0.0</v>
      </c>
      <c r="H117" t="n" s="0">
        <v>5.0</v>
      </c>
      <c r="I117" t="n" s="0">
        <v>2.0</v>
      </c>
      <c r="J117" t="s" s="0">
        <v>181</v>
      </c>
      <c r="K117" t="s" s="0">
        <v>71</v>
      </c>
      <c r="L117" t="n" s="0">
        <v>5.0</v>
      </c>
      <c r="M117" t="n" s="0">
        <v>1.0</v>
      </c>
      <c r="N117" t="b" s="0">
        <v>1</v>
      </c>
      <c r="O117" t="s" s="0">
        <v>66</v>
      </c>
    </row>
    <row r="118">
      <c r="A118" t="n" s="0">
        <v>117.0</v>
      </c>
      <c r="B118" t="s" s="0">
        <v>244</v>
      </c>
      <c r="C118" t="s" s="0">
        <v>63</v>
      </c>
      <c r="D118" t="s" s="0">
        <v>45</v>
      </c>
      <c r="E118" t="s" s="0">
        <v>31</v>
      </c>
      <c r="F118" t="n" s="0">
        <v>1.0</v>
      </c>
      <c r="G118" t="n" s="0">
        <v>0.0</v>
      </c>
      <c r="H118" t="n" s="0">
        <v>5.0</v>
      </c>
      <c r="I118" t="n" s="0">
        <v>1.0</v>
      </c>
      <c r="J118" t="s" s="0">
        <v>173</v>
      </c>
      <c r="K118" t="s" s="0">
        <v>71</v>
      </c>
      <c r="L118" t="n" s="0">
        <v>5.0</v>
      </c>
      <c r="M118" t="n" s="0">
        <v>1.0</v>
      </c>
      <c r="N118" t="b" s="0">
        <v>1</v>
      </c>
      <c r="O118" t="s" s="0">
        <v>66</v>
      </c>
    </row>
    <row r="119">
      <c r="A119" t="n" s="0">
        <v>118.0</v>
      </c>
      <c r="B119" t="s" s="0">
        <v>245</v>
      </c>
      <c r="C119" t="s" s="0">
        <v>63</v>
      </c>
      <c r="D119" t="s" s="0">
        <v>23</v>
      </c>
      <c r="E119" t="s" s="0">
        <v>37</v>
      </c>
      <c r="F119" t="n" s="0">
        <v>1.0</v>
      </c>
      <c r="G119" t="n" s="0">
        <v>0.0</v>
      </c>
      <c r="H119" t="n" s="0">
        <v>7.0</v>
      </c>
      <c r="I119" t="n" s="0">
        <v>5.0</v>
      </c>
      <c r="J119" t="s" s="0">
        <v>234</v>
      </c>
      <c r="K119" t="s" s="0">
        <v>71</v>
      </c>
      <c r="L119" t="n" s="0">
        <v>5.0</v>
      </c>
      <c r="M119" t="n" s="0">
        <v>1.0</v>
      </c>
      <c r="N119" t="b" s="0">
        <v>1</v>
      </c>
      <c r="O119" t="s" s="0">
        <v>66</v>
      </c>
    </row>
    <row r="120">
      <c r="A120" t="n" s="0">
        <v>119.0</v>
      </c>
      <c r="B120" t="s" s="0">
        <v>246</v>
      </c>
      <c r="C120" t="s" s="0">
        <v>63</v>
      </c>
      <c r="D120" t="s" s="0">
        <v>38</v>
      </c>
      <c r="E120" t="s" s="0">
        <v>41</v>
      </c>
      <c r="F120" t="n" s="0">
        <v>1.0</v>
      </c>
      <c r="G120" t="n" s="0">
        <v>0.0</v>
      </c>
      <c r="H120" t="n" s="0">
        <v>5.0</v>
      </c>
      <c r="I120" t="n" s="0">
        <v>3.0</v>
      </c>
      <c r="J120" t="s" s="0">
        <v>156</v>
      </c>
      <c r="K120" t="s" s="0">
        <v>71</v>
      </c>
      <c r="L120" t="n" s="0">
        <v>5.0</v>
      </c>
      <c r="M120" t="n" s="0">
        <v>1.0</v>
      </c>
      <c r="N120" t="b" s="0">
        <v>1</v>
      </c>
      <c r="O120" t="s" s="0">
        <v>66</v>
      </c>
    </row>
    <row r="121">
      <c r="A121" t="n" s="0">
        <v>120.0</v>
      </c>
      <c r="B121" t="s" s="0">
        <v>247</v>
      </c>
      <c r="C121" t="s" s="0">
        <v>63</v>
      </c>
      <c r="D121" t="s" s="0">
        <v>26</v>
      </c>
      <c r="E121" t="s" s="0">
        <v>46</v>
      </c>
      <c r="F121" t="n" s="0">
        <v>0.0</v>
      </c>
      <c r="G121" t="n" s="0">
        <v>1.0</v>
      </c>
      <c r="H121" t="n" s="0">
        <v>2.0</v>
      </c>
      <c r="I121" t="n" s="0">
        <v>5.0</v>
      </c>
      <c r="J121" t="s" s="0">
        <v>152</v>
      </c>
      <c r="K121" t="s" s="0">
        <v>65</v>
      </c>
      <c r="L121" t="n" s="0">
        <v>5.0</v>
      </c>
      <c r="M121" t="n" s="0">
        <v>1.0</v>
      </c>
      <c r="N121" t="b" s="0">
        <v>1</v>
      </c>
      <c r="O121" t="s" s="0">
        <v>66</v>
      </c>
    </row>
    <row r="122">
      <c r="A122" t="n" s="0">
        <v>121.0</v>
      </c>
      <c r="B122" t="s" s="0">
        <v>248</v>
      </c>
      <c r="C122" t="s" s="0">
        <v>63</v>
      </c>
      <c r="D122" t="s" s="0">
        <v>27</v>
      </c>
      <c r="E122" t="s" s="0">
        <v>30</v>
      </c>
      <c r="F122" t="n" s="0">
        <v>1.0</v>
      </c>
      <c r="G122" t="n" s="0">
        <v>0.0</v>
      </c>
      <c r="H122" t="n" s="0">
        <v>5.0</v>
      </c>
      <c r="I122" t="n" s="0">
        <v>1.0</v>
      </c>
      <c r="J122" t="s" s="0">
        <v>173</v>
      </c>
      <c r="K122" t="s" s="0">
        <v>71</v>
      </c>
      <c r="L122" t="n" s="0">
        <v>5.0</v>
      </c>
      <c r="M122" t="n" s="0">
        <v>1.0</v>
      </c>
      <c r="N122" t="b" s="0">
        <v>1</v>
      </c>
      <c r="O122" t="s" s="0">
        <v>66</v>
      </c>
    </row>
    <row r="123">
      <c r="A123" t="n" s="0">
        <v>122.0</v>
      </c>
      <c r="B123" t="s" s="0">
        <v>249</v>
      </c>
      <c r="C123" t="s" s="0">
        <v>63</v>
      </c>
      <c r="D123" t="s" s="0">
        <v>39</v>
      </c>
      <c r="E123" t="s" s="0">
        <v>25</v>
      </c>
      <c r="F123" t="n" s="0">
        <v>1.0</v>
      </c>
      <c r="G123" t="n" s="0">
        <v>0.0</v>
      </c>
      <c r="H123" t="n" s="0">
        <v>5.0</v>
      </c>
      <c r="I123" t="n" s="0">
        <v>3.0</v>
      </c>
      <c r="J123" t="s" s="0">
        <v>156</v>
      </c>
      <c r="K123" t="s" s="0">
        <v>71</v>
      </c>
      <c r="L123" t="n" s="0">
        <v>5.0</v>
      </c>
      <c r="M123" t="n" s="0">
        <v>1.0</v>
      </c>
      <c r="N123" t="b" s="0">
        <v>1</v>
      </c>
      <c r="O123" t="s" s="0">
        <v>66</v>
      </c>
    </row>
    <row r="124">
      <c r="A124" t="n" s="0">
        <v>123.0</v>
      </c>
      <c r="B124" t="s" s="0">
        <v>250</v>
      </c>
      <c r="C124" t="s" s="0">
        <v>63</v>
      </c>
      <c r="D124" t="s" s="0">
        <v>32</v>
      </c>
      <c r="E124" t="s" s="0">
        <v>31</v>
      </c>
      <c r="F124" t="n" s="0">
        <v>1.0</v>
      </c>
      <c r="G124" t="n" s="0">
        <v>0.0</v>
      </c>
      <c r="H124" t="n" s="0">
        <v>5.0</v>
      </c>
      <c r="I124" t="n" s="0">
        <v>0.0</v>
      </c>
      <c r="J124" t="s" s="0">
        <v>171</v>
      </c>
      <c r="K124" t="s" s="0">
        <v>71</v>
      </c>
      <c r="L124" t="n" s="0">
        <v>5.0</v>
      </c>
      <c r="M124" t="n" s="0">
        <v>1.0</v>
      </c>
      <c r="N124" t="b" s="0">
        <v>1</v>
      </c>
      <c r="O124" t="s" s="0">
        <v>66</v>
      </c>
    </row>
    <row r="125">
      <c r="A125" t="n" s="0">
        <v>124.0</v>
      </c>
      <c r="B125" t="s" s="0">
        <v>251</v>
      </c>
      <c r="C125" t="s" s="0">
        <v>63</v>
      </c>
      <c r="D125" t="s" s="0">
        <v>33</v>
      </c>
      <c r="E125" t="s" s="0">
        <v>37</v>
      </c>
      <c r="F125" t="n" s="0">
        <v>1.0</v>
      </c>
      <c r="G125" t="n" s="0">
        <v>0.0</v>
      </c>
      <c r="H125" t="n" s="0">
        <v>6.0</v>
      </c>
      <c r="I125" t="n" s="0">
        <v>4.0</v>
      </c>
      <c r="J125" t="s" s="0">
        <v>224</v>
      </c>
      <c r="K125" t="s" s="0">
        <v>71</v>
      </c>
      <c r="L125" t="n" s="0">
        <v>5.0</v>
      </c>
      <c r="M125" t="n" s="0">
        <v>1.0</v>
      </c>
      <c r="N125" t="b" s="0">
        <v>1</v>
      </c>
      <c r="O125" t="s" s="0">
        <v>66</v>
      </c>
    </row>
    <row r="126">
      <c r="A126" t="n" s="0">
        <v>125.0</v>
      </c>
      <c r="B126" t="s" s="0">
        <v>252</v>
      </c>
      <c r="C126" t="s" s="0">
        <v>63</v>
      </c>
      <c r="D126" t="s" s="0">
        <v>45</v>
      </c>
      <c r="E126" t="s" s="0">
        <v>41</v>
      </c>
      <c r="F126" t="n" s="0">
        <v>1.0</v>
      </c>
      <c r="G126" t="n" s="0">
        <v>0.0</v>
      </c>
      <c r="H126" t="n" s="0">
        <v>5.0</v>
      </c>
      <c r="I126" t="n" s="0">
        <v>3.0</v>
      </c>
      <c r="J126" t="s" s="0">
        <v>156</v>
      </c>
      <c r="K126" t="s" s="0">
        <v>71</v>
      </c>
      <c r="L126" t="n" s="0">
        <v>5.0</v>
      </c>
      <c r="M126" t="n" s="0">
        <v>1.0</v>
      </c>
      <c r="N126" t="b" s="0">
        <v>1</v>
      </c>
      <c r="O126" t="s" s="0">
        <v>66</v>
      </c>
    </row>
    <row r="127">
      <c r="A127" t="n" s="0">
        <v>126.0</v>
      </c>
      <c r="B127" t="s" s="0">
        <v>253</v>
      </c>
      <c r="C127" t="s" s="0">
        <v>63</v>
      </c>
      <c r="D127" t="s" s="0">
        <v>23</v>
      </c>
      <c r="E127" t="s" s="0">
        <v>46</v>
      </c>
      <c r="F127" t="n" s="0">
        <v>1.0</v>
      </c>
      <c r="G127" t="n" s="0">
        <v>0.0</v>
      </c>
      <c r="H127" t="n" s="0">
        <v>5.0</v>
      </c>
      <c r="I127" t="n" s="0">
        <v>2.0</v>
      </c>
      <c r="J127" t="s" s="0">
        <v>181</v>
      </c>
      <c r="K127" t="s" s="0">
        <v>71</v>
      </c>
      <c r="L127" t="n" s="0">
        <v>5.0</v>
      </c>
      <c r="M127" t="n" s="0">
        <v>1.0</v>
      </c>
      <c r="N127" t="b" s="0">
        <v>1</v>
      </c>
      <c r="O127" t="s" s="0">
        <v>66</v>
      </c>
    </row>
    <row r="128">
      <c r="A128" t="n" s="0">
        <v>127.0</v>
      </c>
      <c r="B128" t="s" s="0">
        <v>254</v>
      </c>
      <c r="C128" t="s" s="0">
        <v>63</v>
      </c>
      <c r="D128" t="s" s="0">
        <v>38</v>
      </c>
      <c r="E128" t="s" s="0">
        <v>30</v>
      </c>
      <c r="F128" t="n" s="0">
        <v>1.0</v>
      </c>
      <c r="G128" t="n" s="0">
        <v>0.0</v>
      </c>
      <c r="H128" t="n" s="0">
        <v>5.0</v>
      </c>
      <c r="I128" t="n" s="0">
        <v>1.0</v>
      </c>
      <c r="J128" t="s" s="0">
        <v>173</v>
      </c>
      <c r="K128" t="s" s="0">
        <v>71</v>
      </c>
      <c r="L128" t="n" s="0">
        <v>5.0</v>
      </c>
      <c r="M128" t="n" s="0">
        <v>1.0</v>
      </c>
      <c r="N128" t="b" s="0">
        <v>1</v>
      </c>
      <c r="O128" t="s" s="0">
        <v>66</v>
      </c>
    </row>
    <row r="129">
      <c r="A129" t="n" s="0">
        <v>128.0</v>
      </c>
      <c r="B129" t="s" s="0">
        <v>255</v>
      </c>
      <c r="C129" t="s" s="0">
        <v>63</v>
      </c>
      <c r="D129" t="s" s="0">
        <v>26</v>
      </c>
      <c r="E129" t="s" s="0">
        <v>25</v>
      </c>
      <c r="F129" t="n" s="0">
        <v>0.0</v>
      </c>
      <c r="G129" t="n" s="0">
        <v>1.0</v>
      </c>
      <c r="H129" t="n" s="0">
        <v>4.0</v>
      </c>
      <c r="I129" t="n" s="0">
        <v>6.0</v>
      </c>
      <c r="J129" t="s" s="0">
        <v>195</v>
      </c>
      <c r="K129" t="s" s="0">
        <v>65</v>
      </c>
      <c r="L129" t="n" s="0">
        <v>5.0</v>
      </c>
      <c r="M129" t="n" s="0">
        <v>1.0</v>
      </c>
      <c r="N129" t="b" s="0">
        <v>1</v>
      </c>
      <c r="O129" t="s" s="0">
        <v>66</v>
      </c>
    </row>
    <row r="130">
      <c r="A130" t="n" s="0">
        <v>129.0</v>
      </c>
      <c r="B130" t="s" s="0">
        <v>256</v>
      </c>
      <c r="C130" t="s" s="0">
        <v>63</v>
      </c>
      <c r="D130" t="s" s="0">
        <v>27</v>
      </c>
      <c r="E130" t="s" s="0">
        <v>39</v>
      </c>
      <c r="F130" t="n" s="0">
        <v>0.0</v>
      </c>
      <c r="G130" t="n" s="0">
        <v>1.0</v>
      </c>
      <c r="H130" t="n" s="0">
        <v>1.0</v>
      </c>
      <c r="I130" t="n" s="0">
        <v>5.0</v>
      </c>
      <c r="J130" t="s" s="0">
        <v>161</v>
      </c>
      <c r="K130" t="s" s="0">
        <v>65</v>
      </c>
      <c r="L130" t="n" s="0">
        <v>5.0</v>
      </c>
      <c r="M130" t="n" s="0">
        <v>1.0</v>
      </c>
      <c r="N130" t="b" s="0">
        <v>1</v>
      </c>
      <c r="O130" t="s" s="0">
        <v>66</v>
      </c>
    </row>
    <row r="131">
      <c r="A131" t="n" s="0">
        <v>130.0</v>
      </c>
      <c r="B131" t="s" s="0">
        <v>257</v>
      </c>
      <c r="C131" t="s" s="0">
        <v>63</v>
      </c>
      <c r="D131" t="s" s="0">
        <v>32</v>
      </c>
      <c r="E131" t="s" s="0">
        <v>37</v>
      </c>
      <c r="F131" t="n" s="0">
        <v>1.0</v>
      </c>
      <c r="G131" t="n" s="0">
        <v>0.0</v>
      </c>
      <c r="H131" t="n" s="0">
        <v>5.0</v>
      </c>
      <c r="I131" t="n" s="0">
        <v>0.0</v>
      </c>
      <c r="J131" t="s" s="0">
        <v>171</v>
      </c>
      <c r="K131" t="s" s="0">
        <v>71</v>
      </c>
      <c r="L131" t="n" s="0">
        <v>5.0</v>
      </c>
      <c r="M131" t="n" s="0">
        <v>1.0</v>
      </c>
      <c r="N131" t="b" s="0">
        <v>1</v>
      </c>
      <c r="O131" t="s" s="0">
        <v>66</v>
      </c>
    </row>
    <row r="132">
      <c r="A132" t="n" s="0">
        <v>131.0</v>
      </c>
      <c r="B132" t="s" s="0">
        <v>258</v>
      </c>
      <c r="C132" t="s" s="0">
        <v>63</v>
      </c>
      <c r="D132" t="s" s="0">
        <v>31</v>
      </c>
      <c r="E132" t="s" s="0">
        <v>41</v>
      </c>
      <c r="F132" t="n" s="0">
        <v>0.0</v>
      </c>
      <c r="G132" t="n" s="0">
        <v>1.0</v>
      </c>
      <c r="H132" t="n" s="0">
        <v>3.0</v>
      </c>
      <c r="I132" t="n" s="0">
        <v>5.0</v>
      </c>
      <c r="J132" t="s" s="0">
        <v>159</v>
      </c>
      <c r="K132" t="s" s="0">
        <v>65</v>
      </c>
      <c r="L132" t="n" s="0">
        <v>5.0</v>
      </c>
      <c r="M132" t="n" s="0">
        <v>1.0</v>
      </c>
      <c r="N132" t="b" s="0">
        <v>1</v>
      </c>
      <c r="O132" t="s" s="0">
        <v>66</v>
      </c>
    </row>
    <row r="133">
      <c r="A133" t="n" s="0">
        <v>132.0</v>
      </c>
      <c r="B133" t="s" s="0">
        <v>259</v>
      </c>
      <c r="C133" t="s" s="0">
        <v>63</v>
      </c>
      <c r="D133" t="s" s="0">
        <v>33</v>
      </c>
      <c r="E133" t="s" s="0">
        <v>46</v>
      </c>
      <c r="F133" t="n" s="0">
        <v>1.0</v>
      </c>
      <c r="G133" t="n" s="0">
        <v>0.0</v>
      </c>
      <c r="H133" t="n" s="0">
        <v>5.0</v>
      </c>
      <c r="I133" t="n" s="0">
        <v>1.0</v>
      </c>
      <c r="J133" t="s" s="0">
        <v>173</v>
      </c>
      <c r="K133" t="s" s="0">
        <v>71</v>
      </c>
      <c r="L133" t="n" s="0">
        <v>5.0</v>
      </c>
      <c r="M133" t="n" s="0">
        <v>1.0</v>
      </c>
      <c r="N133" t="b" s="0">
        <v>1</v>
      </c>
      <c r="O133" t="s" s="0">
        <v>66</v>
      </c>
    </row>
    <row r="134">
      <c r="A134" t="n" s="0">
        <v>133.0</v>
      </c>
      <c r="B134" t="s" s="0">
        <v>260</v>
      </c>
      <c r="C134" t="s" s="0">
        <v>63</v>
      </c>
      <c r="D134" t="s" s="0">
        <v>45</v>
      </c>
      <c r="E134" t="s" s="0">
        <v>30</v>
      </c>
      <c r="F134" t="n" s="0">
        <v>1.0</v>
      </c>
      <c r="G134" t="n" s="0">
        <v>0.0</v>
      </c>
      <c r="H134" t="n" s="0">
        <v>5.0</v>
      </c>
      <c r="I134" t="n" s="0">
        <v>2.0</v>
      </c>
      <c r="J134" t="s" s="0">
        <v>181</v>
      </c>
      <c r="K134" t="s" s="0">
        <v>71</v>
      </c>
      <c r="L134" t="n" s="0">
        <v>5.0</v>
      </c>
      <c r="M134" t="n" s="0">
        <v>1.0</v>
      </c>
      <c r="N134" t="b" s="0">
        <v>1</v>
      </c>
      <c r="O134" t="s" s="0">
        <v>66</v>
      </c>
    </row>
    <row r="135">
      <c r="A135" t="n" s="0">
        <v>134.0</v>
      </c>
      <c r="B135" t="s" s="0">
        <v>261</v>
      </c>
      <c r="C135" t="s" s="0">
        <v>63</v>
      </c>
      <c r="D135" t="s" s="0">
        <v>23</v>
      </c>
      <c r="E135" t="s" s="0">
        <v>25</v>
      </c>
      <c r="F135" t="n" s="0">
        <v>1.0</v>
      </c>
      <c r="G135" t="n" s="0">
        <v>0.0</v>
      </c>
      <c r="H135" t="n" s="0">
        <v>6.0</v>
      </c>
      <c r="I135" t="n" s="0">
        <v>4.0</v>
      </c>
      <c r="J135" t="s" s="0">
        <v>224</v>
      </c>
      <c r="K135" t="s" s="0">
        <v>71</v>
      </c>
      <c r="L135" t="n" s="0">
        <v>5.0</v>
      </c>
      <c r="M135" t="n" s="0">
        <v>1.0</v>
      </c>
      <c r="N135" t="b" s="0">
        <v>1</v>
      </c>
      <c r="O135" t="s" s="0">
        <v>66</v>
      </c>
    </row>
    <row r="136">
      <c r="A136" t="n" s="0">
        <v>135.0</v>
      </c>
      <c r="B136" t="s" s="0">
        <v>262</v>
      </c>
      <c r="C136" t="s" s="0">
        <v>63</v>
      </c>
      <c r="D136" t="s" s="0">
        <v>38</v>
      </c>
      <c r="E136" t="s" s="0">
        <v>39</v>
      </c>
      <c r="F136" t="n" s="0">
        <v>0.0</v>
      </c>
      <c r="G136" t="n" s="0">
        <v>1.0</v>
      </c>
      <c r="H136" t="n" s="0">
        <v>1.0</v>
      </c>
      <c r="I136" t="n" s="0">
        <v>5.0</v>
      </c>
      <c r="J136" t="s" s="0">
        <v>161</v>
      </c>
      <c r="K136" t="s" s="0">
        <v>65</v>
      </c>
      <c r="L136" t="n" s="0">
        <v>5.0</v>
      </c>
      <c r="M136" t="n" s="0">
        <v>1.0</v>
      </c>
      <c r="N136" t="b" s="0">
        <v>1</v>
      </c>
      <c r="O136" t="s" s="0">
        <v>66</v>
      </c>
    </row>
    <row r="137">
      <c r="A137" t="n" s="0">
        <v>136.0</v>
      </c>
      <c r="B137" t="s" s="0">
        <v>263</v>
      </c>
      <c r="C137" t="s" s="0">
        <v>63</v>
      </c>
      <c r="D137" t="s" s="0">
        <v>26</v>
      </c>
      <c r="E137" t="s" s="0">
        <v>27</v>
      </c>
      <c r="F137" t="n" s="0">
        <v>0.0</v>
      </c>
      <c r="G137" t="n" s="0">
        <v>1.0</v>
      </c>
      <c r="H137" t="n" s="0">
        <v>3.0</v>
      </c>
      <c r="I137" t="n" s="0">
        <v>5.0</v>
      </c>
      <c r="J137" t="s" s="0">
        <v>159</v>
      </c>
      <c r="K137" t="s" s="0">
        <v>65</v>
      </c>
      <c r="L137" t="n" s="0">
        <v>5.0</v>
      </c>
      <c r="M137" t="n" s="0">
        <v>1.0</v>
      </c>
      <c r="N137" t="b" s="0">
        <v>1</v>
      </c>
      <c r="O137" t="s" s="0">
        <v>66</v>
      </c>
    </row>
    <row r="138">
      <c r="A138" t="n" s="0">
        <v>137.0</v>
      </c>
      <c r="B138" t="s" s="0">
        <v>264</v>
      </c>
      <c r="C138" t="s" s="0">
        <v>63</v>
      </c>
      <c r="D138" t="s" s="0">
        <v>32</v>
      </c>
      <c r="E138" t="s" s="0">
        <v>41</v>
      </c>
      <c r="F138" t="n" s="0">
        <v>1.0</v>
      </c>
      <c r="G138" t="n" s="0">
        <v>0.0</v>
      </c>
      <c r="H138" t="n" s="0">
        <v>5.0</v>
      </c>
      <c r="I138" t="n" s="0">
        <v>1.0</v>
      </c>
      <c r="J138" t="s" s="0">
        <v>173</v>
      </c>
      <c r="K138" t="s" s="0">
        <v>71</v>
      </c>
      <c r="L138" t="n" s="0">
        <v>5.0</v>
      </c>
      <c r="M138" t="n" s="0">
        <v>1.0</v>
      </c>
      <c r="N138" t="b" s="0">
        <v>1</v>
      </c>
      <c r="O138" t="s" s="0">
        <v>66</v>
      </c>
    </row>
    <row r="139">
      <c r="A139" t="n" s="0">
        <v>138.0</v>
      </c>
      <c r="B139" t="s" s="0">
        <v>265</v>
      </c>
      <c r="C139" t="s" s="0">
        <v>63</v>
      </c>
      <c r="D139" t="s" s="0">
        <v>37</v>
      </c>
      <c r="E139" t="s" s="0">
        <v>46</v>
      </c>
      <c r="F139" t="n" s="0">
        <v>1.0</v>
      </c>
      <c r="G139" t="n" s="0">
        <v>0.0</v>
      </c>
      <c r="H139" t="n" s="0">
        <v>5.0</v>
      </c>
      <c r="I139" t="n" s="0">
        <v>2.0</v>
      </c>
      <c r="J139" t="s" s="0">
        <v>181</v>
      </c>
      <c r="K139" t="s" s="0">
        <v>71</v>
      </c>
      <c r="L139" t="n" s="0">
        <v>5.0</v>
      </c>
      <c r="M139" t="n" s="0">
        <v>1.0</v>
      </c>
      <c r="N139" t="b" s="0">
        <v>1</v>
      </c>
      <c r="O139" t="s" s="0">
        <v>66</v>
      </c>
    </row>
    <row r="140">
      <c r="A140" t="n" s="0">
        <v>139.0</v>
      </c>
      <c r="B140" t="s" s="0">
        <v>266</v>
      </c>
      <c r="C140" t="s" s="0">
        <v>63</v>
      </c>
      <c r="D140" t="s" s="0">
        <v>31</v>
      </c>
      <c r="E140" t="s" s="0">
        <v>30</v>
      </c>
      <c r="F140" t="n" s="0">
        <v>1.0</v>
      </c>
      <c r="G140" t="n" s="0">
        <v>0.0</v>
      </c>
      <c r="H140" t="n" s="0">
        <v>5.0</v>
      </c>
      <c r="I140" t="n" s="0">
        <v>3.0</v>
      </c>
      <c r="J140" t="s" s="0">
        <v>156</v>
      </c>
      <c r="K140" t="s" s="0">
        <v>71</v>
      </c>
      <c r="L140" t="n" s="0">
        <v>5.0</v>
      </c>
      <c r="M140" t="n" s="0">
        <v>1.0</v>
      </c>
      <c r="N140" t="b" s="0">
        <v>1</v>
      </c>
      <c r="O140" t="s" s="0">
        <v>66</v>
      </c>
    </row>
    <row r="141">
      <c r="A141" t="n" s="0">
        <v>140.0</v>
      </c>
      <c r="B141" t="s" s="0">
        <v>267</v>
      </c>
      <c r="C141" t="s" s="0">
        <v>63</v>
      </c>
      <c r="D141" t="s" s="0">
        <v>33</v>
      </c>
      <c r="E141" t="s" s="0">
        <v>25</v>
      </c>
      <c r="F141" t="n" s="0">
        <v>1.0</v>
      </c>
      <c r="G141" t="n" s="0">
        <v>0.0</v>
      </c>
      <c r="H141" t="n" s="0">
        <v>6.0</v>
      </c>
      <c r="I141" t="n" s="0">
        <v>4.0</v>
      </c>
      <c r="J141" t="s" s="0">
        <v>224</v>
      </c>
      <c r="K141" t="s" s="0">
        <v>71</v>
      </c>
      <c r="L141" t="n" s="0">
        <v>5.0</v>
      </c>
      <c r="M141" t="n" s="0">
        <v>1.0</v>
      </c>
      <c r="N141" t="b" s="0">
        <v>1</v>
      </c>
      <c r="O141" t="s" s="0">
        <v>66</v>
      </c>
    </row>
    <row r="142">
      <c r="A142" t="n" s="0">
        <v>141.0</v>
      </c>
      <c r="B142" t="s" s="0">
        <v>268</v>
      </c>
      <c r="C142" t="s" s="0">
        <v>63</v>
      </c>
      <c r="D142" t="s" s="0">
        <v>45</v>
      </c>
      <c r="E142" t="s" s="0">
        <v>39</v>
      </c>
      <c r="F142" t="n" s="0">
        <v>1.0</v>
      </c>
      <c r="G142" t="n" s="0">
        <v>0.0</v>
      </c>
      <c r="H142" t="n" s="0">
        <v>5.0</v>
      </c>
      <c r="I142" t="n" s="0">
        <v>2.0</v>
      </c>
      <c r="J142" t="s" s="0">
        <v>181</v>
      </c>
      <c r="K142" t="s" s="0">
        <v>71</v>
      </c>
      <c r="L142" t="n" s="0">
        <v>5.0</v>
      </c>
      <c r="M142" t="n" s="0">
        <v>1.0</v>
      </c>
      <c r="N142" t="b" s="0">
        <v>1</v>
      </c>
      <c r="O142" t="s" s="0">
        <v>66</v>
      </c>
    </row>
    <row r="143">
      <c r="A143" t="n" s="0">
        <v>142.0</v>
      </c>
      <c r="B143" t="s" s="0">
        <v>269</v>
      </c>
      <c r="C143" t="s" s="0">
        <v>63</v>
      </c>
      <c r="D143" t="s" s="0">
        <v>23</v>
      </c>
      <c r="E143" t="s" s="0">
        <v>27</v>
      </c>
      <c r="F143" t="n" s="0">
        <v>1.0</v>
      </c>
      <c r="G143" t="n" s="0">
        <v>0.0</v>
      </c>
      <c r="H143" t="n" s="0">
        <v>5.0</v>
      </c>
      <c r="I143" t="n" s="0">
        <v>1.0</v>
      </c>
      <c r="J143" t="s" s="0">
        <v>173</v>
      </c>
      <c r="K143" t="s" s="0">
        <v>71</v>
      </c>
      <c r="L143" t="n" s="0">
        <v>5.0</v>
      </c>
      <c r="M143" t="n" s="0">
        <v>1.0</v>
      </c>
      <c r="N143" t="b" s="0">
        <v>1</v>
      </c>
      <c r="O143" t="s" s="0">
        <v>66</v>
      </c>
    </row>
    <row r="144">
      <c r="A144" t="n" s="0">
        <v>143.0</v>
      </c>
      <c r="B144" t="s" s="0">
        <v>270</v>
      </c>
      <c r="C144" t="s" s="0">
        <v>63</v>
      </c>
      <c r="D144" t="s" s="0">
        <v>38</v>
      </c>
      <c r="E144" t="s" s="0">
        <v>26</v>
      </c>
      <c r="F144" t="n" s="0">
        <v>1.0</v>
      </c>
      <c r="G144" t="n" s="0">
        <v>0.0</v>
      </c>
      <c r="H144" t="n" s="0">
        <v>5.0</v>
      </c>
      <c r="I144" t="n" s="0">
        <v>2.0</v>
      </c>
      <c r="J144" t="s" s="0">
        <v>181</v>
      </c>
      <c r="K144" t="s" s="0">
        <v>71</v>
      </c>
      <c r="L144" t="n" s="0">
        <v>5.0</v>
      </c>
      <c r="M144" t="n" s="0">
        <v>1.0</v>
      </c>
      <c r="N144" t="b" s="0">
        <v>1</v>
      </c>
      <c r="O144" t="s" s="0">
        <v>66</v>
      </c>
    </row>
    <row r="145">
      <c r="A145" t="n" s="0">
        <v>144.0</v>
      </c>
      <c r="B145" t="s" s="0">
        <v>271</v>
      </c>
      <c r="C145" t="s" s="0">
        <v>63</v>
      </c>
      <c r="D145" t="s" s="0">
        <v>32</v>
      </c>
      <c r="E145" t="s" s="0">
        <v>46</v>
      </c>
      <c r="F145" t="n" s="0">
        <v>0.0</v>
      </c>
      <c r="G145" t="n" s="0">
        <v>1.0</v>
      </c>
      <c r="H145" t="n" s="0">
        <v>4.0</v>
      </c>
      <c r="I145" t="n" s="0">
        <v>6.0</v>
      </c>
      <c r="J145" t="s" s="0">
        <v>195</v>
      </c>
      <c r="K145" t="s" s="0">
        <v>65</v>
      </c>
      <c r="L145" t="n" s="0">
        <v>5.0</v>
      </c>
      <c r="M145" t="n" s="0">
        <v>1.0</v>
      </c>
      <c r="N145" t="b" s="0">
        <v>1</v>
      </c>
      <c r="O145" t="s" s="0">
        <v>66</v>
      </c>
    </row>
    <row r="146">
      <c r="A146" t="n" s="0">
        <v>145.0</v>
      </c>
      <c r="B146" t="s" s="0">
        <v>272</v>
      </c>
      <c r="C146" t="s" s="0">
        <v>63</v>
      </c>
      <c r="D146" t="s" s="0">
        <v>41</v>
      </c>
      <c r="E146" t="s" s="0">
        <v>30</v>
      </c>
      <c r="F146" t="n" s="0">
        <v>1.0</v>
      </c>
      <c r="G146" t="n" s="0">
        <v>0.0</v>
      </c>
      <c r="H146" t="n" s="0">
        <v>5.0</v>
      </c>
      <c r="I146" t="n" s="0">
        <v>2.0</v>
      </c>
      <c r="J146" t="s" s="0">
        <v>181</v>
      </c>
      <c r="K146" t="s" s="0">
        <v>71</v>
      </c>
      <c r="L146" t="n" s="0">
        <v>5.0</v>
      </c>
      <c r="M146" t="n" s="0">
        <v>1.0</v>
      </c>
      <c r="N146" t="b" s="0">
        <v>1</v>
      </c>
      <c r="O146" t="s" s="0">
        <v>66</v>
      </c>
    </row>
    <row r="147">
      <c r="A147" t="n" s="0">
        <v>146.0</v>
      </c>
      <c r="B147" t="s" s="0">
        <v>273</v>
      </c>
      <c r="C147" t="s" s="0">
        <v>63</v>
      </c>
      <c r="D147" t="s" s="0">
        <v>37</v>
      </c>
      <c r="E147" t="s" s="0">
        <v>25</v>
      </c>
      <c r="F147" t="n" s="0">
        <v>1.0</v>
      </c>
      <c r="G147" t="n" s="0">
        <v>0.0</v>
      </c>
      <c r="H147" t="n" s="0">
        <v>5.0</v>
      </c>
      <c r="I147" t="n" s="0">
        <v>2.0</v>
      </c>
      <c r="J147" t="s" s="0">
        <v>181</v>
      </c>
      <c r="K147" t="s" s="0">
        <v>71</v>
      </c>
      <c r="L147" t="n" s="0">
        <v>5.0</v>
      </c>
      <c r="M147" t="n" s="0">
        <v>1.0</v>
      </c>
      <c r="N147" t="b" s="0">
        <v>1</v>
      </c>
      <c r="O147" t="s" s="0">
        <v>66</v>
      </c>
    </row>
    <row r="148">
      <c r="A148" t="n" s="0">
        <v>147.0</v>
      </c>
      <c r="B148" t="s" s="0">
        <v>274</v>
      </c>
      <c r="C148" t="s" s="0">
        <v>63</v>
      </c>
      <c r="D148" t="s" s="0">
        <v>31</v>
      </c>
      <c r="E148" t="s" s="0">
        <v>39</v>
      </c>
      <c r="F148" t="n" s="0">
        <v>0.0</v>
      </c>
      <c r="G148" t="n" s="0">
        <v>1.0</v>
      </c>
      <c r="H148" t="n" s="0">
        <v>2.0</v>
      </c>
      <c r="I148" t="n" s="0">
        <v>5.0</v>
      </c>
      <c r="J148" t="s" s="0">
        <v>152</v>
      </c>
      <c r="K148" t="s" s="0">
        <v>65</v>
      </c>
      <c r="L148" t="n" s="0">
        <v>5.0</v>
      </c>
      <c r="M148" t="n" s="0">
        <v>1.0</v>
      </c>
      <c r="N148" t="b" s="0">
        <v>1</v>
      </c>
      <c r="O148" t="s" s="0">
        <v>66</v>
      </c>
    </row>
    <row r="149">
      <c r="A149" t="n" s="0">
        <v>148.0</v>
      </c>
      <c r="B149" t="s" s="0">
        <v>275</v>
      </c>
      <c r="C149" t="s" s="0">
        <v>63</v>
      </c>
      <c r="D149" t="s" s="0">
        <v>33</v>
      </c>
      <c r="E149" t="s" s="0">
        <v>27</v>
      </c>
      <c r="F149" t="n" s="0">
        <v>1.0</v>
      </c>
      <c r="G149" t="n" s="0">
        <v>0.0</v>
      </c>
      <c r="H149" t="n" s="0">
        <v>8.0</v>
      </c>
      <c r="I149" t="n" s="0">
        <v>6.0</v>
      </c>
      <c r="J149" t="s" s="0">
        <v>201</v>
      </c>
      <c r="K149" t="s" s="0">
        <v>71</v>
      </c>
      <c r="L149" t="n" s="0">
        <v>5.0</v>
      </c>
      <c r="M149" t="n" s="0">
        <v>1.0</v>
      </c>
      <c r="N149" t="b" s="0">
        <v>1</v>
      </c>
      <c r="O149" t="s" s="0">
        <v>66</v>
      </c>
    </row>
    <row r="150">
      <c r="A150" t="n" s="0">
        <v>149.0</v>
      </c>
      <c r="B150" t="s" s="0">
        <v>276</v>
      </c>
      <c r="C150" t="s" s="0">
        <v>63</v>
      </c>
      <c r="D150" t="s" s="0">
        <v>45</v>
      </c>
      <c r="E150" t="s" s="0">
        <v>26</v>
      </c>
      <c r="F150" t="n" s="0">
        <v>1.0</v>
      </c>
      <c r="G150" t="n" s="0">
        <v>0.0</v>
      </c>
      <c r="H150" t="n" s="0">
        <v>5.0</v>
      </c>
      <c r="I150" t="n" s="0">
        <v>2.0</v>
      </c>
      <c r="J150" t="s" s="0">
        <v>181</v>
      </c>
      <c r="K150" t="s" s="0">
        <v>71</v>
      </c>
      <c r="L150" t="n" s="0">
        <v>5.0</v>
      </c>
      <c r="M150" t="n" s="0">
        <v>1.0</v>
      </c>
      <c r="N150" t="b" s="0">
        <v>1</v>
      </c>
      <c r="O150" t="s" s="0">
        <v>66</v>
      </c>
    </row>
    <row r="151">
      <c r="A151" t="n" s="0">
        <v>150.0</v>
      </c>
      <c r="B151" t="s" s="0">
        <v>277</v>
      </c>
      <c r="C151" t="s" s="0">
        <v>63</v>
      </c>
      <c r="D151" t="s" s="0">
        <v>23</v>
      </c>
      <c r="E151" t="s" s="0">
        <v>38</v>
      </c>
      <c r="F151" t="n" s="0">
        <v>1.0</v>
      </c>
      <c r="G151" t="n" s="0">
        <v>0.0</v>
      </c>
      <c r="H151" t="n" s="0">
        <v>5.0</v>
      </c>
      <c r="I151" t="n" s="0">
        <v>2.0</v>
      </c>
      <c r="J151" t="s" s="0">
        <v>181</v>
      </c>
      <c r="K151" t="s" s="0">
        <v>71</v>
      </c>
      <c r="L151" t="n" s="0">
        <v>5.0</v>
      </c>
      <c r="M151" t="n" s="0">
        <v>1.0</v>
      </c>
      <c r="N151" t="b" s="0">
        <v>1</v>
      </c>
      <c r="O151" t="s" s="0">
        <v>66</v>
      </c>
    </row>
    <row r="152">
      <c r="A152" t="n" s="0">
        <v>151.0</v>
      </c>
      <c r="B152" t="s" s="0">
        <v>278</v>
      </c>
      <c r="C152" t="s" s="0">
        <v>63</v>
      </c>
      <c r="D152" t="s" s="0">
        <v>32</v>
      </c>
      <c r="E152" t="s" s="0">
        <v>30</v>
      </c>
      <c r="F152" t="n" s="0">
        <v>1.0</v>
      </c>
      <c r="G152" t="n" s="0">
        <v>0.0</v>
      </c>
      <c r="H152" t="n" s="0">
        <v>5.0</v>
      </c>
      <c r="I152" t="n" s="0">
        <v>0.0</v>
      </c>
      <c r="J152" t="s" s="0">
        <v>171</v>
      </c>
      <c r="K152" t="s" s="0">
        <v>71</v>
      </c>
      <c r="L152" t="n" s="0">
        <v>5.0</v>
      </c>
      <c r="M152" t="n" s="0">
        <v>1.0</v>
      </c>
      <c r="N152" t="b" s="0">
        <v>1</v>
      </c>
      <c r="O152" t="s" s="0">
        <v>66</v>
      </c>
    </row>
    <row r="153">
      <c r="A153" t="n" s="0">
        <v>152.0</v>
      </c>
      <c r="B153" t="s" s="0">
        <v>279</v>
      </c>
      <c r="C153" t="s" s="0">
        <v>63</v>
      </c>
      <c r="D153" t="s" s="0">
        <v>46</v>
      </c>
      <c r="E153" t="s" s="0">
        <v>25</v>
      </c>
      <c r="F153" t="n" s="0">
        <v>1.0</v>
      </c>
      <c r="G153" t="n" s="0">
        <v>0.0</v>
      </c>
      <c r="H153" t="n" s="0">
        <v>6.0</v>
      </c>
      <c r="I153" t="n" s="0">
        <v>4.0</v>
      </c>
      <c r="J153" t="s" s="0">
        <v>224</v>
      </c>
      <c r="K153" t="s" s="0">
        <v>71</v>
      </c>
      <c r="L153" t="n" s="0">
        <v>5.0</v>
      </c>
      <c r="M153" t="n" s="0">
        <v>1.0</v>
      </c>
      <c r="N153" t="b" s="0">
        <v>1</v>
      </c>
      <c r="O153" t="s" s="0">
        <v>66</v>
      </c>
    </row>
    <row r="154">
      <c r="A154" t="n" s="0">
        <v>153.0</v>
      </c>
      <c r="B154" t="s" s="0">
        <v>280</v>
      </c>
      <c r="C154" t="s" s="0">
        <v>63</v>
      </c>
      <c r="D154" t="s" s="0">
        <v>41</v>
      </c>
      <c r="E154" t="s" s="0">
        <v>39</v>
      </c>
      <c r="F154" t="n" s="0">
        <v>1.0</v>
      </c>
      <c r="G154" t="n" s="0">
        <v>0.0</v>
      </c>
      <c r="H154" t="n" s="0">
        <v>5.0</v>
      </c>
      <c r="I154" t="n" s="0">
        <v>2.0</v>
      </c>
      <c r="J154" t="s" s="0">
        <v>181</v>
      </c>
      <c r="K154" t="s" s="0">
        <v>71</v>
      </c>
      <c r="L154" t="n" s="0">
        <v>5.0</v>
      </c>
      <c r="M154" t="n" s="0">
        <v>1.0</v>
      </c>
      <c r="N154" t="b" s="0">
        <v>1</v>
      </c>
      <c r="O154" t="s" s="0">
        <v>66</v>
      </c>
    </row>
    <row r="155">
      <c r="A155" t="n" s="0">
        <v>154.0</v>
      </c>
      <c r="B155" t="s" s="0">
        <v>281</v>
      </c>
      <c r="C155" t="s" s="0">
        <v>63</v>
      </c>
      <c r="D155" t="s" s="0">
        <v>37</v>
      </c>
      <c r="E155" t="s" s="0">
        <v>27</v>
      </c>
      <c r="F155" t="n" s="0">
        <v>0.0</v>
      </c>
      <c r="G155" t="n" s="0">
        <v>1.0</v>
      </c>
      <c r="H155" t="n" s="0">
        <v>4.0</v>
      </c>
      <c r="I155" t="n" s="0">
        <v>6.0</v>
      </c>
      <c r="J155" t="s" s="0">
        <v>195</v>
      </c>
      <c r="K155" t="s" s="0">
        <v>65</v>
      </c>
      <c r="L155" t="n" s="0">
        <v>5.0</v>
      </c>
      <c r="M155" t="n" s="0">
        <v>1.0</v>
      </c>
      <c r="N155" t="b" s="0">
        <v>1</v>
      </c>
      <c r="O155" t="s" s="0">
        <v>66</v>
      </c>
    </row>
    <row r="156">
      <c r="A156" t="n" s="0">
        <v>155.0</v>
      </c>
      <c r="B156" t="s" s="0">
        <v>282</v>
      </c>
      <c r="C156" t="s" s="0">
        <v>63</v>
      </c>
      <c r="D156" t="s" s="0">
        <v>31</v>
      </c>
      <c r="E156" t="s" s="0">
        <v>26</v>
      </c>
      <c r="F156" t="n" s="0">
        <v>1.0</v>
      </c>
      <c r="G156" t="n" s="0">
        <v>0.0</v>
      </c>
      <c r="H156" t="n" s="0">
        <v>5.0</v>
      </c>
      <c r="I156" t="n" s="0">
        <v>2.0</v>
      </c>
      <c r="J156" t="s" s="0">
        <v>181</v>
      </c>
      <c r="K156" t="s" s="0">
        <v>71</v>
      </c>
      <c r="L156" t="n" s="0">
        <v>5.0</v>
      </c>
      <c r="M156" t="n" s="0">
        <v>1.0</v>
      </c>
      <c r="N156" t="b" s="0">
        <v>1</v>
      </c>
      <c r="O156" t="s" s="0">
        <v>66</v>
      </c>
    </row>
    <row r="157">
      <c r="A157" t="n" s="0">
        <v>156.0</v>
      </c>
      <c r="B157" t="s" s="0">
        <v>283</v>
      </c>
      <c r="C157" t="s" s="0">
        <v>63</v>
      </c>
      <c r="D157" t="s" s="0">
        <v>33</v>
      </c>
      <c r="E157" t="s" s="0">
        <v>38</v>
      </c>
      <c r="F157" t="n" s="0">
        <v>0.0</v>
      </c>
      <c r="G157" t="n" s="0">
        <v>1.0</v>
      </c>
      <c r="H157" t="n" s="0">
        <v>3.0</v>
      </c>
      <c r="I157" t="n" s="0">
        <v>5.0</v>
      </c>
      <c r="J157" t="s" s="0">
        <v>159</v>
      </c>
      <c r="K157" t="s" s="0">
        <v>65</v>
      </c>
      <c r="L157" t="n" s="0">
        <v>5.0</v>
      </c>
      <c r="M157" t="n" s="0">
        <v>1.0</v>
      </c>
      <c r="N157" t="b" s="0">
        <v>1</v>
      </c>
      <c r="O157" t="s" s="0">
        <v>66</v>
      </c>
    </row>
    <row r="158">
      <c r="A158" t="n" s="0">
        <v>157.0</v>
      </c>
      <c r="B158" t="s" s="0">
        <v>284</v>
      </c>
      <c r="C158" t="s" s="0">
        <v>63</v>
      </c>
      <c r="D158" t="s" s="0">
        <v>45</v>
      </c>
      <c r="E158" t="s" s="0">
        <v>23</v>
      </c>
      <c r="F158" t="n" s="0">
        <v>1.0</v>
      </c>
      <c r="G158" t="n" s="0">
        <v>0.0</v>
      </c>
      <c r="H158" t="n" s="0">
        <v>5.0</v>
      </c>
      <c r="I158" t="n" s="0">
        <v>2.0</v>
      </c>
      <c r="J158" t="s" s="0">
        <v>181</v>
      </c>
      <c r="K158" t="s" s="0">
        <v>71</v>
      </c>
      <c r="L158" t="n" s="0">
        <v>5.0</v>
      </c>
      <c r="M158" t="n" s="0">
        <v>1.0</v>
      </c>
      <c r="N158" t="b" s="0">
        <v>1</v>
      </c>
      <c r="O158" t="s" s="0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26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285</v>
      </c>
      <c r="E1" t="s" s="1">
        <v>286</v>
      </c>
      <c r="F1" t="s" s="1">
        <v>287</v>
      </c>
      <c r="G1" t="s" s="1">
        <v>288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</row>
    <row r="2">
      <c r="A2" t="n" s="0">
        <v>1.0</v>
      </c>
      <c r="B2" t="s" s="0">
        <v>289</v>
      </c>
      <c r="C2" t="s" s="0">
        <v>63</v>
      </c>
      <c r="D2" t="s" s="0">
        <v>45</v>
      </c>
      <c r="E2" t="s" s="0">
        <v>31</v>
      </c>
      <c r="F2" t="s" s="0">
        <v>23</v>
      </c>
      <c r="G2" t="s" s="0">
        <v>41</v>
      </c>
      <c r="H2" t="n" s="0">
        <v>2.0</v>
      </c>
      <c r="I2" t="n" s="0">
        <v>1.0</v>
      </c>
      <c r="J2" t="n" s="0">
        <v>12.0</v>
      </c>
      <c r="K2" t="n" s="0">
        <v>9.0</v>
      </c>
      <c r="L2" t="s" s="0">
        <v>290</v>
      </c>
      <c r="M2" t="s" s="0">
        <v>71</v>
      </c>
      <c r="N2" t="n" s="0">
        <v>5.0</v>
      </c>
      <c r="O2" t="n" s="0">
        <v>2.0</v>
      </c>
      <c r="P2" t="b" s="0">
        <v>0</v>
      </c>
      <c r="Q2" t="s" s="0">
        <v>66</v>
      </c>
    </row>
    <row r="3">
      <c r="A3" t="n" s="0">
        <v>2.0</v>
      </c>
      <c r="B3" t="s" s="0">
        <v>291</v>
      </c>
      <c r="C3" t="s" s="0">
        <v>63</v>
      </c>
      <c r="D3" t="s" s="0">
        <v>42</v>
      </c>
      <c r="E3" t="s" s="0">
        <v>24</v>
      </c>
      <c r="F3" t="s" s="0">
        <v>32</v>
      </c>
      <c r="G3" t="s" s="0">
        <v>33</v>
      </c>
      <c r="H3" t="n" s="0">
        <v>2.0</v>
      </c>
      <c r="I3" t="n" s="0">
        <v>1.0</v>
      </c>
      <c r="J3" t="n" s="0">
        <v>12.0</v>
      </c>
      <c r="K3" t="n" s="0">
        <v>11.0</v>
      </c>
      <c r="L3" t="s" s="0">
        <v>292</v>
      </c>
      <c r="M3" t="s" s="0">
        <v>71</v>
      </c>
      <c r="N3" t="n" s="0">
        <v>5.0</v>
      </c>
      <c r="O3" t="n" s="0">
        <v>2.0</v>
      </c>
      <c r="P3" t="b" s="0">
        <v>0</v>
      </c>
      <c r="Q3" t="s" s="0">
        <v>66</v>
      </c>
    </row>
    <row r="4">
      <c r="A4" t="n" s="0">
        <v>3.0</v>
      </c>
      <c r="B4" t="s" s="0">
        <v>293</v>
      </c>
      <c r="C4" t="s" s="0">
        <v>63</v>
      </c>
      <c r="D4" t="s" s="0">
        <v>45</v>
      </c>
      <c r="E4" t="s" s="0">
        <v>31</v>
      </c>
      <c r="F4" t="s" s="0">
        <v>32</v>
      </c>
      <c r="G4" t="s" s="0">
        <v>33</v>
      </c>
      <c r="H4" t="n" s="0">
        <v>2.0</v>
      </c>
      <c r="I4" t="n" s="0">
        <v>1.0</v>
      </c>
      <c r="J4" t="n" s="0">
        <v>13.0</v>
      </c>
      <c r="K4" t="n" s="0">
        <v>10.0</v>
      </c>
      <c r="L4" t="s" s="0">
        <v>294</v>
      </c>
      <c r="M4" t="s" s="0">
        <v>71</v>
      </c>
      <c r="N4" t="n" s="0">
        <v>5.0</v>
      </c>
      <c r="O4" t="n" s="0">
        <v>2.0</v>
      </c>
      <c r="P4" t="b" s="0">
        <v>0</v>
      </c>
      <c r="Q4" t="s" s="0">
        <v>66</v>
      </c>
    </row>
    <row r="5">
      <c r="A5" t="n" s="0">
        <v>4.0</v>
      </c>
      <c r="B5" t="s" s="0">
        <v>295</v>
      </c>
      <c r="C5" t="s" s="0">
        <v>63</v>
      </c>
      <c r="D5" t="s" s="0">
        <v>23</v>
      </c>
      <c r="E5" t="s" s="0">
        <v>41</v>
      </c>
      <c r="F5" t="s" s="0">
        <v>42</v>
      </c>
      <c r="G5" t="s" s="0">
        <v>24</v>
      </c>
      <c r="H5" t="n" s="0">
        <v>0.0</v>
      </c>
      <c r="I5" t="n" s="0">
        <v>2.0</v>
      </c>
      <c r="J5" t="n" s="0">
        <v>3.0</v>
      </c>
      <c r="K5" t="n" s="0">
        <v>10.0</v>
      </c>
      <c r="L5" t="s" s="0">
        <v>64</v>
      </c>
      <c r="M5" t="s" s="0">
        <v>65</v>
      </c>
      <c r="N5" t="n" s="0">
        <v>5.0</v>
      </c>
      <c r="O5" t="n" s="0">
        <v>2.0</v>
      </c>
      <c r="P5" t="b" s="0">
        <v>0</v>
      </c>
      <c r="Q5" t="s" s="0">
        <v>66</v>
      </c>
    </row>
    <row r="6">
      <c r="A6" t="n" s="0">
        <v>5.0</v>
      </c>
      <c r="B6" t="s" s="0">
        <v>296</v>
      </c>
      <c r="C6" t="s" s="0">
        <v>63</v>
      </c>
      <c r="D6" t="s" s="0">
        <v>45</v>
      </c>
      <c r="E6" t="s" s="0">
        <v>31</v>
      </c>
      <c r="F6" t="s" s="0">
        <v>42</v>
      </c>
      <c r="G6" t="s" s="0">
        <v>24</v>
      </c>
      <c r="H6" t="n" s="0">
        <v>2.0</v>
      </c>
      <c r="I6" t="n" s="0">
        <v>0.0</v>
      </c>
      <c r="J6" t="n" s="0">
        <v>10.0</v>
      </c>
      <c r="K6" t="n" s="0">
        <v>4.0</v>
      </c>
      <c r="L6" t="s" s="0">
        <v>75</v>
      </c>
      <c r="M6" t="s" s="0">
        <v>71</v>
      </c>
      <c r="N6" t="n" s="0">
        <v>5.0</v>
      </c>
      <c r="O6" t="n" s="0">
        <v>2.0</v>
      </c>
      <c r="P6" t="b" s="0">
        <v>0</v>
      </c>
      <c r="Q6" t="s" s="0">
        <v>66</v>
      </c>
    </row>
    <row r="7">
      <c r="A7" t="n" s="0">
        <v>6.0</v>
      </c>
      <c r="B7" t="s" s="0">
        <v>297</v>
      </c>
      <c r="C7" t="s" s="0">
        <v>63</v>
      </c>
      <c r="D7" t="s" s="0">
        <v>32</v>
      </c>
      <c r="E7" t="s" s="0">
        <v>33</v>
      </c>
      <c r="F7" t="s" s="0">
        <v>23</v>
      </c>
      <c r="G7" t="s" s="0">
        <v>41</v>
      </c>
      <c r="H7" t="n" s="0">
        <v>1.0</v>
      </c>
      <c r="I7" t="n" s="0">
        <v>2.0</v>
      </c>
      <c r="J7" t="n" s="0">
        <v>9.0</v>
      </c>
      <c r="K7" t="n" s="0">
        <v>11.0</v>
      </c>
      <c r="L7" t="s" s="0">
        <v>298</v>
      </c>
      <c r="M7" t="s" s="0">
        <v>65</v>
      </c>
      <c r="N7" t="n" s="0">
        <v>5.0</v>
      </c>
      <c r="O7" t="n" s="0">
        <v>2.0</v>
      </c>
      <c r="P7" t="b" s="0">
        <v>0</v>
      </c>
      <c r="Q7" t="s" s="0">
        <v>66</v>
      </c>
    </row>
    <row r="8">
      <c r="A8" t="n" s="0">
        <v>7.0</v>
      </c>
      <c r="B8" t="s" s="0">
        <v>299</v>
      </c>
      <c r="C8" t="s" s="0">
        <v>63</v>
      </c>
      <c r="D8" t="s" s="0">
        <v>32</v>
      </c>
      <c r="E8" t="s" s="0">
        <v>29</v>
      </c>
      <c r="F8" t="s" s="0">
        <v>35</v>
      </c>
      <c r="G8" t="s" s="0">
        <v>45</v>
      </c>
      <c r="H8" t="n" s="0">
        <v>0.0</v>
      </c>
      <c r="I8" t="n" s="0">
        <v>1.0</v>
      </c>
      <c r="J8" t="n" s="0">
        <v>1.0</v>
      </c>
      <c r="K8" t="n" s="0">
        <v>5.0</v>
      </c>
      <c r="L8" t="s" s="0">
        <v>161</v>
      </c>
      <c r="M8" t="s" s="0">
        <v>65</v>
      </c>
      <c r="N8" t="n" s="0">
        <v>5.0</v>
      </c>
      <c r="O8" t="n" s="0">
        <v>1.0</v>
      </c>
      <c r="P8" t="b" s="0">
        <v>0</v>
      </c>
      <c r="Q8" t="s" s="0">
        <v>66</v>
      </c>
    </row>
    <row r="9">
      <c r="A9" t="n" s="0">
        <v>8.0</v>
      </c>
      <c r="B9" t="s" s="0">
        <v>300</v>
      </c>
      <c r="C9" t="s" s="0">
        <v>63</v>
      </c>
      <c r="D9" t="s" s="0">
        <v>32</v>
      </c>
      <c r="E9" t="s" s="0">
        <v>29</v>
      </c>
      <c r="F9" t="s" s="0">
        <v>45</v>
      </c>
      <c r="G9" t="s" s="0">
        <v>39</v>
      </c>
      <c r="H9" t="n" s="0">
        <v>1.0</v>
      </c>
      <c r="I9" t="n" s="0">
        <v>2.0</v>
      </c>
      <c r="J9" t="n" s="0">
        <v>10.0</v>
      </c>
      <c r="K9" t="n" s="0">
        <v>13.0</v>
      </c>
      <c r="L9" t="s" s="0">
        <v>301</v>
      </c>
      <c r="M9" t="s" s="0">
        <v>65</v>
      </c>
      <c r="N9" t="n" s="0">
        <v>5.0</v>
      </c>
      <c r="O9" t="n" s="0">
        <v>2.0</v>
      </c>
      <c r="P9" t="b" s="0">
        <v>0</v>
      </c>
      <c r="Q9" t="s" s="0">
        <v>66</v>
      </c>
    </row>
    <row r="10">
      <c r="A10" t="n" s="0">
        <v>9.0</v>
      </c>
      <c r="B10" t="s" s="0">
        <v>302</v>
      </c>
      <c r="C10" t="s" s="0">
        <v>63</v>
      </c>
      <c r="D10" t="s" s="0">
        <v>29</v>
      </c>
      <c r="E10" t="s" s="0">
        <v>32</v>
      </c>
      <c r="F10" t="s" s="0">
        <v>45</v>
      </c>
      <c r="G10" t="s" s="0">
        <v>39</v>
      </c>
      <c r="H10" t="n" s="0">
        <v>2.0</v>
      </c>
      <c r="I10" t="n" s="0">
        <v>0.0</v>
      </c>
      <c r="J10" t="n" s="0">
        <v>10.0</v>
      </c>
      <c r="K10" t="n" s="0">
        <v>2.0</v>
      </c>
      <c r="L10" t="s" s="0">
        <v>303</v>
      </c>
      <c r="M10" t="s" s="0">
        <v>71</v>
      </c>
      <c r="N10" t="n" s="0">
        <v>5.0</v>
      </c>
      <c r="O10" t="n" s="0">
        <v>2.0</v>
      </c>
      <c r="P10" t="b" s="0">
        <v>0</v>
      </c>
      <c r="Q10" t="s" s="0">
        <v>66</v>
      </c>
    </row>
    <row r="11">
      <c r="A11" t="n" s="0">
        <v>10.0</v>
      </c>
      <c r="B11" t="s" s="0">
        <v>304</v>
      </c>
      <c r="C11" t="s" s="0">
        <v>63</v>
      </c>
      <c r="D11" t="s" s="0">
        <v>39</v>
      </c>
      <c r="E11" t="s" s="0">
        <v>29</v>
      </c>
      <c r="F11" t="s" s="0">
        <v>31</v>
      </c>
      <c r="G11" t="s" s="0">
        <v>32</v>
      </c>
      <c r="H11" t="n" s="0">
        <v>0.0</v>
      </c>
      <c r="I11" t="n" s="0">
        <v>1.0</v>
      </c>
      <c r="J11" t="n" s="0">
        <v>1.0</v>
      </c>
      <c r="K11" t="n" s="0">
        <v>5.0</v>
      </c>
      <c r="L11" t="s" s="0">
        <v>161</v>
      </c>
      <c r="M11" t="s" s="0">
        <v>65</v>
      </c>
      <c r="N11" t="n" s="0">
        <v>5.0</v>
      </c>
      <c r="O11" t="n" s="0">
        <v>1.0</v>
      </c>
      <c r="P11" t="b" s="0">
        <v>0</v>
      </c>
      <c r="Q11" t="s" s="0">
        <v>66</v>
      </c>
    </row>
    <row r="12">
      <c r="A12" t="n" s="0">
        <v>11.0</v>
      </c>
      <c r="B12" t="s" s="0">
        <v>305</v>
      </c>
      <c r="C12" t="s" s="0">
        <v>63</v>
      </c>
      <c r="D12" t="s" s="0">
        <v>42</v>
      </c>
      <c r="E12" t="s" s="0">
        <v>30</v>
      </c>
      <c r="F12" t="s" s="0">
        <v>35</v>
      </c>
      <c r="G12" t="s" s="0">
        <v>46</v>
      </c>
      <c r="H12" t="n" s="0">
        <v>2.0</v>
      </c>
      <c r="I12" t="n" s="0">
        <v>0.0</v>
      </c>
      <c r="J12" t="n" s="0">
        <v>10.0</v>
      </c>
      <c r="K12" t="n" s="0">
        <v>4.0</v>
      </c>
      <c r="L12" t="s" s="0">
        <v>306</v>
      </c>
      <c r="M12" t="s" s="0">
        <v>71</v>
      </c>
      <c r="N12" t="n" s="0">
        <v>5.0</v>
      </c>
      <c r="O12" t="n" s="0">
        <v>2.0</v>
      </c>
      <c r="P12" t="b" s="0">
        <v>0</v>
      </c>
      <c r="Q12" t="s" s="0">
        <v>66</v>
      </c>
    </row>
    <row r="13">
      <c r="A13" t="n" s="0">
        <v>12.0</v>
      </c>
      <c r="B13" t="s" s="0">
        <v>307</v>
      </c>
      <c r="C13" t="s" s="0">
        <v>63</v>
      </c>
      <c r="D13" t="s" s="0">
        <v>37</v>
      </c>
      <c r="E13" t="s" s="0">
        <v>41</v>
      </c>
      <c r="F13" t="s" s="0">
        <v>31</v>
      </c>
      <c r="G13" t="s" s="0">
        <v>23</v>
      </c>
      <c r="H13" t="n" s="0">
        <v>0.0</v>
      </c>
      <c r="I13" t="n" s="0">
        <v>2.0</v>
      </c>
      <c r="J13" t="n" s="0">
        <v>3.0</v>
      </c>
      <c r="K13" t="n" s="0">
        <v>10.0</v>
      </c>
      <c r="L13" t="s" s="0">
        <v>90</v>
      </c>
      <c r="M13" t="s" s="0">
        <v>65</v>
      </c>
      <c r="N13" t="n" s="0">
        <v>5.0</v>
      </c>
      <c r="O13" t="n" s="0">
        <v>2.0</v>
      </c>
      <c r="P13" t="b" s="0">
        <v>0</v>
      </c>
      <c r="Q13" t="s" s="0">
        <v>66</v>
      </c>
    </row>
    <row r="14">
      <c r="A14" t="n" s="0">
        <v>13.0</v>
      </c>
      <c r="B14" t="s" s="0">
        <v>308</v>
      </c>
      <c r="C14" t="s" s="0">
        <v>63</v>
      </c>
      <c r="D14" t="s" s="0">
        <v>24</v>
      </c>
      <c r="E14" t="s" s="0">
        <v>25</v>
      </c>
      <c r="F14" t="s" s="0">
        <v>32</v>
      </c>
      <c r="G14" t="s" s="0">
        <v>33</v>
      </c>
      <c r="H14" t="n" s="0">
        <v>0.0</v>
      </c>
      <c r="I14" t="n" s="0">
        <v>2.0</v>
      </c>
      <c r="J14" t="n" s="0">
        <v>1.0</v>
      </c>
      <c r="K14" t="n" s="0">
        <v>10.0</v>
      </c>
      <c r="L14" t="s" s="0">
        <v>118</v>
      </c>
      <c r="M14" t="s" s="0">
        <v>65</v>
      </c>
      <c r="N14" t="n" s="0">
        <v>5.0</v>
      </c>
      <c r="O14" t="n" s="0">
        <v>2.0</v>
      </c>
      <c r="P14" t="b" s="0">
        <v>0</v>
      </c>
      <c r="Q14" t="s" s="0">
        <v>66</v>
      </c>
    </row>
    <row r="15">
      <c r="A15" t="n" s="0">
        <v>14.0</v>
      </c>
      <c r="B15" t="s" s="0">
        <v>309</v>
      </c>
      <c r="C15" t="s" s="0">
        <v>63</v>
      </c>
      <c r="D15" t="s" s="0">
        <v>42</v>
      </c>
      <c r="E15" t="s" s="0">
        <v>30</v>
      </c>
      <c r="F15" t="s" s="0">
        <v>31</v>
      </c>
      <c r="G15" t="s" s="0">
        <v>23</v>
      </c>
      <c r="H15" t="n" s="0">
        <v>1.0</v>
      </c>
      <c r="I15" t="n" s="0">
        <v>2.0</v>
      </c>
      <c r="J15" t="n" s="0">
        <v>11.0</v>
      </c>
      <c r="K15" t="n" s="0">
        <v>12.0</v>
      </c>
      <c r="L15" t="s" s="0">
        <v>310</v>
      </c>
      <c r="M15" t="s" s="0">
        <v>65</v>
      </c>
      <c r="N15" t="n" s="0">
        <v>5.0</v>
      </c>
      <c r="O15" t="n" s="0">
        <v>2.0</v>
      </c>
      <c r="P15" t="b" s="0">
        <v>0</v>
      </c>
      <c r="Q15" t="s" s="0">
        <v>66</v>
      </c>
    </row>
    <row r="16">
      <c r="A16" t="n" s="0">
        <v>15.0</v>
      </c>
      <c r="B16" t="s" s="0">
        <v>311</v>
      </c>
      <c r="C16" t="s" s="0">
        <v>63</v>
      </c>
      <c r="D16" t="s" s="0">
        <v>35</v>
      </c>
      <c r="E16" t="s" s="0">
        <v>46</v>
      </c>
      <c r="F16" t="s" s="0">
        <v>32</v>
      </c>
      <c r="G16" t="s" s="0">
        <v>33</v>
      </c>
      <c r="H16" t="n" s="0">
        <v>0.0</v>
      </c>
      <c r="I16" t="n" s="0">
        <v>2.0</v>
      </c>
      <c r="J16" t="n" s="0">
        <v>6.0</v>
      </c>
      <c r="K16" t="n" s="0">
        <v>10.0</v>
      </c>
      <c r="L16" t="s" s="0">
        <v>178</v>
      </c>
      <c r="M16" t="s" s="0">
        <v>65</v>
      </c>
      <c r="N16" t="n" s="0">
        <v>5.0</v>
      </c>
      <c r="O16" t="n" s="0">
        <v>2.0</v>
      </c>
      <c r="P16" t="b" s="0">
        <v>0</v>
      </c>
      <c r="Q16" t="s" s="0">
        <v>66</v>
      </c>
    </row>
    <row r="17">
      <c r="A17" t="n" s="0">
        <v>16.0</v>
      </c>
      <c r="B17" t="s" s="0">
        <v>312</v>
      </c>
      <c r="C17" t="s" s="0">
        <v>63</v>
      </c>
      <c r="D17" t="s" s="0">
        <v>37</v>
      </c>
      <c r="E17" t="s" s="0">
        <v>41</v>
      </c>
      <c r="F17" t="s" s="0">
        <v>24</v>
      </c>
      <c r="G17" t="s" s="0">
        <v>25</v>
      </c>
      <c r="H17" t="n" s="0">
        <v>2.0</v>
      </c>
      <c r="I17" t="n" s="0">
        <v>1.0</v>
      </c>
      <c r="J17" t="n" s="0">
        <v>11.0</v>
      </c>
      <c r="K17" t="n" s="0">
        <v>10.0</v>
      </c>
      <c r="L17" t="s" s="0">
        <v>313</v>
      </c>
      <c r="M17" t="s" s="0">
        <v>71</v>
      </c>
      <c r="N17" t="n" s="0">
        <v>5.0</v>
      </c>
      <c r="O17" t="n" s="0">
        <v>2.0</v>
      </c>
      <c r="P17" t="b" s="0">
        <v>0</v>
      </c>
      <c r="Q17" t="s" s="0">
        <v>66</v>
      </c>
    </row>
    <row r="18">
      <c r="A18" t="n" s="0">
        <v>17.0</v>
      </c>
      <c r="B18" t="s" s="0">
        <v>314</v>
      </c>
      <c r="C18" t="s" s="0">
        <v>63</v>
      </c>
      <c r="D18" t="s" s="0">
        <v>42</v>
      </c>
      <c r="E18" t="s" s="0">
        <v>30</v>
      </c>
      <c r="F18" t="s" s="0">
        <v>32</v>
      </c>
      <c r="G18" t="s" s="0">
        <v>33</v>
      </c>
      <c r="H18" t="n" s="0">
        <v>0.0</v>
      </c>
      <c r="I18" t="n" s="0">
        <v>2.0</v>
      </c>
      <c r="J18" t="n" s="0">
        <v>5.0</v>
      </c>
      <c r="K18" t="n" s="0">
        <v>10.0</v>
      </c>
      <c r="L18" t="s" s="0">
        <v>315</v>
      </c>
      <c r="M18" t="s" s="0">
        <v>65</v>
      </c>
      <c r="N18" t="n" s="0">
        <v>5.0</v>
      </c>
      <c r="O18" t="n" s="0">
        <v>2.0</v>
      </c>
      <c r="P18" t="b" s="0">
        <v>0</v>
      </c>
      <c r="Q18" t="s" s="0">
        <v>66</v>
      </c>
    </row>
    <row r="19">
      <c r="A19" t="n" s="0">
        <v>18.0</v>
      </c>
      <c r="B19" t="s" s="0">
        <v>316</v>
      </c>
      <c r="C19" t="s" s="0">
        <v>63</v>
      </c>
      <c r="D19" t="s" s="0">
        <v>31</v>
      </c>
      <c r="E19" t="s" s="0">
        <v>23</v>
      </c>
      <c r="F19" t="s" s="0">
        <v>24</v>
      </c>
      <c r="G19" t="s" s="0">
        <v>25</v>
      </c>
      <c r="H19" t="n" s="0">
        <v>2.0</v>
      </c>
      <c r="I19" t="n" s="0">
        <v>1.0</v>
      </c>
      <c r="J19" t="n" s="0">
        <v>14.0</v>
      </c>
      <c r="K19" t="n" s="0">
        <v>13.0</v>
      </c>
      <c r="L19" t="s" s="0">
        <v>102</v>
      </c>
      <c r="M19" t="s" s="0">
        <v>71</v>
      </c>
      <c r="N19" t="n" s="0">
        <v>5.0</v>
      </c>
      <c r="O19" t="n" s="0">
        <v>2.0</v>
      </c>
      <c r="P19" t="b" s="0">
        <v>0</v>
      </c>
      <c r="Q19" t="s" s="0">
        <v>66</v>
      </c>
    </row>
    <row r="20">
      <c r="A20" t="n" s="0">
        <v>19.0</v>
      </c>
      <c r="B20" t="s" s="0">
        <v>317</v>
      </c>
      <c r="C20" t="s" s="0">
        <v>63</v>
      </c>
      <c r="D20" t="s" s="0">
        <v>35</v>
      </c>
      <c r="E20" t="s" s="0">
        <v>46</v>
      </c>
      <c r="F20" t="s" s="0">
        <v>37</v>
      </c>
      <c r="G20" t="s" s="0">
        <v>41</v>
      </c>
      <c r="H20" t="n" s="0">
        <v>2.0</v>
      </c>
      <c r="I20" t="n" s="0">
        <v>1.0</v>
      </c>
      <c r="J20" t="n" s="0">
        <v>11.0</v>
      </c>
      <c r="K20" t="n" s="0">
        <v>12.0</v>
      </c>
      <c r="L20" t="s" s="0">
        <v>318</v>
      </c>
      <c r="M20" t="s" s="0">
        <v>71</v>
      </c>
      <c r="N20" t="n" s="0">
        <v>5.0</v>
      </c>
      <c r="O20" t="n" s="0">
        <v>2.0</v>
      </c>
      <c r="P20" t="b" s="0">
        <v>0</v>
      </c>
      <c r="Q20" t="s" s="0">
        <v>66</v>
      </c>
    </row>
    <row r="21">
      <c r="A21" t="n" s="0">
        <v>20.0</v>
      </c>
      <c r="B21" t="s" s="0">
        <v>319</v>
      </c>
      <c r="C21" t="s" s="0">
        <v>63</v>
      </c>
      <c r="D21" t="s" s="0">
        <v>42</v>
      </c>
      <c r="E21" t="s" s="0">
        <v>30</v>
      </c>
      <c r="F21" t="s" s="0">
        <v>38</v>
      </c>
      <c r="G21" t="s" s="0">
        <v>27</v>
      </c>
      <c r="H21" t="n" s="0">
        <v>0.0</v>
      </c>
      <c r="I21" t="n" s="0">
        <v>2.0</v>
      </c>
      <c r="J21" t="n" s="0">
        <v>6.0</v>
      </c>
      <c r="K21" t="n" s="0">
        <v>10.0</v>
      </c>
      <c r="L21" t="s" s="0">
        <v>320</v>
      </c>
      <c r="M21" t="s" s="0">
        <v>65</v>
      </c>
      <c r="N21" t="n" s="0">
        <v>5.0</v>
      </c>
      <c r="O21" t="n" s="0">
        <v>2.0</v>
      </c>
      <c r="P21" t="b" s="0">
        <v>0</v>
      </c>
      <c r="Q21" t="s" s="0">
        <v>66</v>
      </c>
    </row>
    <row r="22">
      <c r="A22" t="n" s="0">
        <v>21.0</v>
      </c>
      <c r="B22" t="s" s="0">
        <v>321</v>
      </c>
      <c r="C22" t="s" s="0">
        <v>63</v>
      </c>
      <c r="D22" t="s" s="0">
        <v>32</v>
      </c>
      <c r="E22" t="s" s="0">
        <v>33</v>
      </c>
      <c r="F22" t="s" s="0">
        <v>37</v>
      </c>
      <c r="G22" t="s" s="0">
        <v>41</v>
      </c>
      <c r="H22" t="n" s="0">
        <v>1.0</v>
      </c>
      <c r="I22" t="n" s="0">
        <v>2.0</v>
      </c>
      <c r="J22" t="n" s="0">
        <v>10.0</v>
      </c>
      <c r="K22" t="n" s="0">
        <v>11.0</v>
      </c>
      <c r="L22" t="s" s="0">
        <v>322</v>
      </c>
      <c r="M22" t="s" s="0">
        <v>65</v>
      </c>
      <c r="N22" t="n" s="0">
        <v>5.0</v>
      </c>
      <c r="O22" t="n" s="0">
        <v>2.0</v>
      </c>
      <c r="P22" t="b" s="0">
        <v>0</v>
      </c>
      <c r="Q22" t="s" s="0">
        <v>66</v>
      </c>
    </row>
    <row r="23">
      <c r="A23" t="n" s="0">
        <v>22.0</v>
      </c>
      <c r="B23" t="s" s="0">
        <v>323</v>
      </c>
      <c r="C23" t="s" s="0">
        <v>63</v>
      </c>
      <c r="D23" t="s" s="0">
        <v>31</v>
      </c>
      <c r="E23" t="s" s="0">
        <v>23</v>
      </c>
      <c r="F23" t="s" s="0">
        <v>35</v>
      </c>
      <c r="G23" t="s" s="0">
        <v>46</v>
      </c>
      <c r="H23" t="n" s="0">
        <v>2.0</v>
      </c>
      <c r="I23" t="n" s="0">
        <v>0.0</v>
      </c>
      <c r="J23" t="n" s="0">
        <v>10.0</v>
      </c>
      <c r="K23" t="n" s="0">
        <v>2.0</v>
      </c>
      <c r="L23" t="s" s="0">
        <v>324</v>
      </c>
      <c r="M23" t="s" s="0">
        <v>71</v>
      </c>
      <c r="N23" t="n" s="0">
        <v>5.0</v>
      </c>
      <c r="O23" t="n" s="0">
        <v>2.0</v>
      </c>
      <c r="P23" t="b" s="0">
        <v>0</v>
      </c>
      <c r="Q23" t="s" s="0">
        <v>66</v>
      </c>
    </row>
    <row r="24">
      <c r="A24" t="n" s="0">
        <v>23.0</v>
      </c>
      <c r="B24" t="s" s="0">
        <v>325</v>
      </c>
      <c r="C24" t="s" s="0">
        <v>63</v>
      </c>
      <c r="D24" t="s" s="0">
        <v>42</v>
      </c>
      <c r="E24" t="s" s="0">
        <v>30</v>
      </c>
      <c r="F24" t="s" s="0">
        <v>37</v>
      </c>
      <c r="G24" t="s" s="0">
        <v>41</v>
      </c>
      <c r="H24" t="n" s="0">
        <v>0.0</v>
      </c>
      <c r="I24" t="n" s="0">
        <v>2.0</v>
      </c>
      <c r="J24" t="n" s="0">
        <v>5.0</v>
      </c>
      <c r="K24" t="n" s="0">
        <v>10.0</v>
      </c>
      <c r="L24" t="s" s="0">
        <v>131</v>
      </c>
      <c r="M24" t="s" s="0">
        <v>65</v>
      </c>
      <c r="N24" t="n" s="0">
        <v>5.0</v>
      </c>
      <c r="O24" t="n" s="0">
        <v>2.0</v>
      </c>
      <c r="P24" t="b" s="0">
        <v>0</v>
      </c>
      <c r="Q24" t="s" s="0">
        <v>66</v>
      </c>
    </row>
    <row r="25">
      <c r="A25" t="n" s="0">
        <v>24.0</v>
      </c>
      <c r="B25" t="s" s="0">
        <v>326</v>
      </c>
      <c r="C25" t="s" s="0">
        <v>63</v>
      </c>
      <c r="D25" t="s" s="0">
        <v>38</v>
      </c>
      <c r="E25" t="s" s="0">
        <v>27</v>
      </c>
      <c r="F25" t="s" s="0">
        <v>35</v>
      </c>
      <c r="G25" t="s" s="0">
        <v>46</v>
      </c>
      <c r="H25" t="n" s="0">
        <v>2.0</v>
      </c>
      <c r="I25" t="n" s="0">
        <v>0.0</v>
      </c>
      <c r="J25" t="n" s="0">
        <v>10.0</v>
      </c>
      <c r="K25" t="n" s="0">
        <v>6.0</v>
      </c>
      <c r="L25" t="s" s="0">
        <v>327</v>
      </c>
      <c r="M25" t="s" s="0">
        <v>71</v>
      </c>
      <c r="N25" t="n" s="0">
        <v>5.0</v>
      </c>
      <c r="O25" t="n" s="0">
        <v>2.0</v>
      </c>
      <c r="P25" t="b" s="0">
        <v>0</v>
      </c>
      <c r="Q25" t="s" s="0">
        <v>66</v>
      </c>
    </row>
    <row r="26">
      <c r="A26" t="n" s="0">
        <v>25.0</v>
      </c>
      <c r="B26" t="s" s="0">
        <v>328</v>
      </c>
      <c r="C26" t="s" s="0">
        <v>63</v>
      </c>
      <c r="D26" t="s" s="0">
        <v>32</v>
      </c>
      <c r="E26" t="s" s="0">
        <v>33</v>
      </c>
      <c r="F26" t="s" s="0">
        <v>31</v>
      </c>
      <c r="G26" t="s" s="0">
        <v>23</v>
      </c>
      <c r="H26" t="n" s="0">
        <v>1.0</v>
      </c>
      <c r="I26" t="n" s="0">
        <v>2.0</v>
      </c>
      <c r="J26" t="n" s="0">
        <v>11.0</v>
      </c>
      <c r="K26" t="n" s="0">
        <v>13.0</v>
      </c>
      <c r="L26" t="s" s="0">
        <v>329</v>
      </c>
      <c r="M26" t="s" s="0">
        <v>65</v>
      </c>
      <c r="N26" t="n" s="0">
        <v>5.0</v>
      </c>
      <c r="O26" t="n" s="0">
        <v>2.0</v>
      </c>
      <c r="P26" t="b" s="0">
        <v>0</v>
      </c>
      <c r="Q26" t="s" s="0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3"/>
  <sheetViews>
    <sheetView workbookViewId="0"/>
  </sheetViews>
  <sheetFormatPr defaultRowHeight="15.0"/>
  <cols>
    <col min="1" max="1" width="31.25" customWidth="true"/>
    <col min="2" max="2" width="15.625" customWidth="true"/>
    <col min="3" max="3" width="15.625" customWidth="true"/>
  </cols>
  <sheetData>
    <row r="1">
      <c r="A1" t="s" s="0">
        <v>330</v>
      </c>
    </row>
    <row r="3">
      <c r="A3" t="s" s="0">
        <v>331</v>
      </c>
      <c r="B3" s="0"/>
    </row>
    <row r="4">
      <c r="A4" t="s" s="0">
        <v>332</v>
      </c>
      <c r="B4" s="0"/>
    </row>
    <row r="6">
      <c r="A6" t="s" s="1">
        <v>333</v>
      </c>
      <c r="B6" s="1">
        <f>$B$3</f>
      </c>
      <c r="C6" s="1">
        <f>$B$4</f>
      </c>
    </row>
    <row r="7">
      <c r="A7" t="s" s="0">
        <v>334</v>
      </c>
      <c r="B7" s="0">
        <f>COUNTIFS(SinglesMatches!$D$2:$D$5000,$B$3,SinglesMatches!$E$2:$E$5000,$B$4,SinglesMatches!$C$2:$C$5000,"COMPLETED")+COUNTIFS(SinglesMatches!$D$2:$D$5000,$B$4,SinglesMatches!$E$2:$E$5000,$B$3,SinglesMatches!$C$2:$C$5000,"COMPLETED")</f>
      </c>
    </row>
    <row r="8">
      <c r="A8" t="s" s="0">
        <v>335</v>
      </c>
      <c r="B8" s="0">
        <f>COUNTIFS(SinglesMatches!$D$2:$D$5000,$B$3,SinglesMatches!$E$2:$E$5000,$B$4,SinglesMatches!$K$2:$K$5000,"RED",SinglesMatches!$C$2:$C$5000,"COMPLETED")+COUNTIFS(SinglesMatches!$D$2:$D$5000,$B$4,SinglesMatches!$E$2:$E$5000,$B$3,SinglesMatches!$K$2:$K$5000,"BLUE",SinglesMatches!$C$2:$C$5000,"COMPLETED")</f>
      </c>
      <c r="C8" s="0">
        <f>B7-B8</f>
      </c>
    </row>
    <row r="9">
      <c r="A9" t="s" s="0">
        <v>336</v>
      </c>
      <c r="B9" s="0">
        <f>SUMIFS(SinglesMatches!$F$2:$F$5000,SinglesMatches!$D$2:$D$5000,$B$3,SinglesMatches!$E$2:$E$5000,$B$4,SinglesMatches!$C$2:$C$5000,"COMPLETED")+SUMIFS(SinglesMatches!$G$2:$G$5000,SinglesMatches!$D$2:$D$5000,$B$4,SinglesMatches!$E$2:$E$5000,$B$3,SinglesMatches!$C$2:$C$5000,"COMPLETED")</f>
      </c>
      <c r="C9" s="0">
        <f>SUMIFS(SinglesMatches!$G$2:$G$5000,SinglesMatches!$D$2:$D$5000,$B$3,SinglesMatches!$E$2:$E$5000,$B$4,SinglesMatches!$C$2:$C$5000,"COMPLETED")+SUMIFS(SinglesMatches!$F$2:$F$5000,SinglesMatches!$D$2:$D$5000,$B$4,SinglesMatches!$E$2:$E$5000,$B$3,SinglesMatches!$C$2:$C$5000,"COMPLETED")</f>
      </c>
    </row>
    <row r="10">
      <c r="A10" t="s" s="0">
        <v>337</v>
      </c>
      <c r="B10" s="0">
        <f>SUMIFS(SinglesMatches!$H$2:$H$5000,SinglesMatches!$D$2:$D$5000,$B$3,SinglesMatches!$E$2:$E$5000,$B$4,SinglesMatches!$C$2:$C$5000,"COMPLETED")+SUMIFS(SinglesMatches!$I$2:$I$5000,SinglesMatches!$D$2:$D$5000,$B$4,SinglesMatches!$E$2:$E$5000,$B$3,SinglesMatches!$C$2:$C$5000,"COMPLETED")</f>
      </c>
      <c r="C10" s="0">
        <f>SUMIFS(SinglesMatches!$I$2:$I$5000,SinglesMatches!$D$2:$D$5000,$B$3,SinglesMatches!$E$2:$E$5000,$B$4,SinglesMatches!$C$2:$C$5000,"COMPLETED")+SUMIFS(SinglesMatches!$H$2:$H$5000,SinglesMatches!$D$2:$D$5000,$B$4,SinglesMatches!$E$2:$E$5000,$B$3,SinglesMatches!$C$2:$C$5000,"COMPLETED")</f>
      </c>
    </row>
    <row r="12">
      <c r="A12" t="s" s="1">
        <v>338</v>
      </c>
      <c r="B12" s="1">
        <f>$B$3</f>
      </c>
      <c r="C12" s="1">
        <f>$B$4</f>
      </c>
    </row>
    <row r="13">
      <c r="A13" t="s" s="0">
        <v>334</v>
      </c>
      <c r="B13" s="0">
        <f>SUMPRODUCT(((DoublesMatches!$D$2:$D$5000=$B$3)+(DoublesMatches!$E$2:$E$5000=$B$3))*((DoublesMatches!$F$2:$F$5000=$B$4)+(DoublesMatches!$G$2:$G$5000=$B$4))*(DoublesMatches!$C$2:$C$5000="COMPLETED"))+SUMPRODUCT(((DoublesMatches!$F$2:$F$5000=$B$3)+(DoublesMatches!$G$2:$G$5000=$B$3))*((DoublesMatches!$D$2:$D$5000=$B$4)+(DoublesMatches!$E$2:$E$5000=$B$4))*(DoublesMatches!$C$2:$C$5000="COMPLETED"))</f>
      </c>
    </row>
    <row r="14">
      <c r="A14" t="s" s="0">
        <v>335</v>
      </c>
      <c r="B14" s="0">
        <f>SUMPRODUCT(((DoublesMatches!$D$2:$D$5000=$B$3)+(DoublesMatches!$E$2:$E$5000=$B$3))*((DoublesMatches!$F$2:$F$5000=$B$4)+(DoublesMatches!$G$2:$G$5000=$B$4))*(DoublesMatches!$C$2:$C$5000="COMPLETED")*(DoublesMatches!$M$2:$M$5000="RED"))+SUMPRODUCT(((DoublesMatches!$F$2:$F$5000=$B$3)+(DoublesMatches!$G$2:$G$5000=$B$3))*((DoublesMatches!$D$2:$D$5000=$B$4)+(DoublesMatches!$E$2:$E$5000=$B$4))*(DoublesMatches!$C$2:$C$5000="COMPLETED")*(DoublesMatches!$M$2:$M$5000="BLUE"))</f>
      </c>
      <c r="C14" s="0">
        <f>B13-B14</f>
      </c>
    </row>
    <row r="15">
      <c r="A15" t="s" s="0">
        <v>336</v>
      </c>
      <c r="B15" s="0">
        <f>SUMPRODUCT(((DoublesMatches!$D$2:$D$5000=$B$3)+(DoublesMatches!$E$2:$E$5000=$B$3))*((DoublesMatches!$F$2:$F$5000=$B$4)+(DoublesMatches!$G$2:$G$5000=$B$4))*(DoublesMatches!$C$2:$C$5000="COMPLETED")*DoublesMatches!$H$2:$H$5000)+SUMPRODUCT(((DoublesMatches!$F$2:$F$5000=$B$3)+(DoublesMatches!$G$2:$G$5000=$B$3))*((DoublesMatches!$D$2:$D$5000=$B$4)+(DoublesMatches!$E$2:$E$5000=$B$4))*(DoublesMatches!$C$2:$C$5000="COMPLETED")*DoublesMatches!$I$2:$I$5000)</f>
      </c>
      <c r="C15" s="0">
        <f>SUMPRODUCT(((DoublesMatches!$D$2:$D$5000=$B$3)+(DoublesMatches!$E$2:$E$5000=$B$3))*((DoublesMatches!$F$2:$F$5000=$B$4)+(DoublesMatches!$G$2:$G$5000=$B$4))*(DoublesMatches!$C$2:$C$5000="COMPLETED")*DoublesMatches!$I$2:$I$5000)+SUMPRODUCT(((DoublesMatches!$F$2:$F$5000=$B$3)+(DoublesMatches!$G$2:$G$5000=$B$3))*((DoublesMatches!$D$2:$D$5000=$B$4)+(DoublesMatches!$E$2:$E$5000=$B$4))*(DoublesMatches!$C$2:$C$5000="COMPLETED")*DoublesMatches!$H$2:$H$5000)</f>
      </c>
    </row>
    <row r="16">
      <c r="A16" t="s" s="0">
        <v>337</v>
      </c>
      <c r="B16" s="0">
        <f>SUMPRODUCT(((DoublesMatches!$D$2:$D$5000=$B$3)+(DoublesMatches!$E$2:$E$5000=$B$3))*((DoublesMatches!$F$2:$F$5000=$B$4)+(DoublesMatches!$G$2:$G$5000=$B$4))*(DoublesMatches!$C$2:$C$5000="COMPLETED")*DoublesMatches!$J$2:$J$5000)+SUMPRODUCT(((DoublesMatches!$F$2:$F$5000=$B$3)+(DoublesMatches!$G$2:$G$5000=$B$3))*((DoublesMatches!$D$2:$D$5000=$B$4)+(DoublesMatches!$E$2:$E$5000=$B$4))*(DoublesMatches!$C$2:$C$5000="COMPLETED")*DoublesMatches!$K$2:$K$5000)</f>
      </c>
      <c r="C16" s="0">
        <f>SUMPRODUCT(((DoublesMatches!$D$2:$D$5000=$B$3)+(DoublesMatches!$E$2:$E$5000=$B$3))*((DoublesMatches!$F$2:$F$5000=$B$4)+(DoublesMatches!$G$2:$G$5000=$B$4))*(DoublesMatches!$C$2:$C$5000="COMPLETED")*DoublesMatches!$K$2:$K$5000)+SUMPRODUCT(((DoublesMatches!$F$2:$F$5000=$B$3)+(DoublesMatches!$G$2:$G$5000=$B$3))*((DoublesMatches!$D$2:$D$5000=$B$4)+(DoublesMatches!$E$2:$E$5000=$B$4))*(DoublesMatches!$C$2:$C$5000="COMPLETED")*DoublesMatches!$J$2:$J$5000)</f>
      </c>
    </row>
    <row r="18">
      <c r="A18" t="s" s="1">
        <v>339</v>
      </c>
      <c r="B18" s="1">
        <f>$B$3&amp;" &amp; "&amp;$B$4</f>
      </c>
      <c r="C18" s="1">
        <f>"相手"</f>
      </c>
    </row>
    <row r="19">
      <c r="A19" t="s" s="0">
        <v>334</v>
      </c>
      <c r="B19" s="0">
        <f>SUMPRODUCT(((DoublesMatches!$D$2:$D$5000=$B$3)*(DoublesMatches!$E$2:$E$5000=$B$4)+(DoublesMatches!$D$2:$D$5000=$B$4)*(DoublesMatches!$E$2:$E$5000=$B$3))*(DoublesMatches!$C$2:$C$5000="COMPLETED"))+SUMPRODUCT(((DoublesMatches!$F$2:$F$5000=$B$3)*(DoublesMatches!$G$2:$G$5000=$B$4)+(DoublesMatches!$F$2:$F$5000=$B$4)*(DoublesMatches!$G$2:$G$5000=$B$3))*(DoublesMatches!$C$2:$C$5000="COMPLETED"))</f>
      </c>
    </row>
    <row r="20">
      <c r="A20" t="s" s="0">
        <v>335</v>
      </c>
      <c r="B20" s="0">
        <f>SUMPRODUCT(((DoublesMatches!$D$2:$D$5000=$B$3)*(DoublesMatches!$E$2:$E$5000=$B$4)+(DoublesMatches!$D$2:$D$5000=$B$4)*(DoublesMatches!$E$2:$E$5000=$B$3))*(DoublesMatches!$C$2:$C$5000="COMPLETED")*(DoublesMatches!$M$2:$M$5000="RED"))+SUMPRODUCT(((DoublesMatches!$F$2:$F$5000=$B$3)*(DoublesMatches!$G$2:$G$5000=$B$4)+(DoublesMatches!$F$2:$F$5000=$B$4)*(DoublesMatches!$G$2:$G$5000=$B$3))*(DoublesMatches!$C$2:$C$5000="COMPLETED")*(DoublesMatches!$M$2:$M$5000="BLUE"))</f>
      </c>
      <c r="C20" s="0">
        <f>B19-B20</f>
      </c>
    </row>
    <row r="21">
      <c r="A21" t="s" s="0">
        <v>336</v>
      </c>
      <c r="B21" s="0">
        <f>SUMPRODUCT(((DoublesMatches!$D$2:$D$5000=$B$3)*(DoublesMatches!$E$2:$E$5000=$B$4)+(DoublesMatches!$D$2:$D$5000=$B$4)*(DoublesMatches!$E$2:$E$5000=$B$3))*(DoublesMatches!$C$2:$C$5000="COMPLETED")*DoublesMatches!$H$2:$H$5000)+SUMPRODUCT(((DoublesMatches!$F$2:$F$5000=$B$3)*(DoublesMatches!$G$2:$G$5000=$B$4)+(DoublesMatches!$F$2:$F$5000=$B$4)*(DoublesMatches!$G$2:$G$5000=$B$3))*(DoublesMatches!$C$2:$C$5000="COMPLETED")*DoublesMatches!$I$2:$I$5000)</f>
      </c>
      <c r="C21" s="0">
        <f>SUMPRODUCT(((DoublesMatches!$D$2:$D$5000=$B$3)*(DoublesMatches!$E$2:$E$5000=$B$4)+(DoublesMatches!$D$2:$D$5000=$B$4)*(DoublesMatches!$E$2:$E$5000=$B$3))*(DoublesMatches!$C$2:$C$5000="COMPLETED")*DoublesMatches!$I$2:$I$5000)+SUMPRODUCT(((DoublesMatches!$F$2:$F$5000=$B$3)*(DoublesMatches!$G$2:$G$5000=$B$4)+(DoublesMatches!$F$2:$F$5000=$B$4)*(DoublesMatches!$G$2:$G$5000=$B$3))*(DoublesMatches!$C$2:$C$5000="COMPLETED")*DoublesMatches!$H$2:$H$5000)</f>
      </c>
    </row>
    <row r="22">
      <c r="A22" t="s" s="0">
        <v>337</v>
      </c>
      <c r="B22" s="0">
        <f>SUMPRODUCT(((DoublesMatches!$D$2:$D$5000=$B$3)*(DoublesMatches!$E$2:$E$5000=$B$4)+(DoublesMatches!$D$2:$D$5000=$B$4)*(DoublesMatches!$E$2:$E$5000=$B$3))*(DoublesMatches!$C$2:$C$5000="COMPLETED")*DoublesMatches!$J$2:$J$5000)+SUMPRODUCT(((DoublesMatches!$F$2:$F$5000=$B$3)*(DoublesMatches!$G$2:$G$5000=$B$4)+(DoublesMatches!$F$2:$F$5000=$B$4)*(DoublesMatches!$G$2:$G$5000=$B$3))*(DoublesMatches!$C$2:$C$5000="COMPLETED")*DoublesMatches!$K$2:$K$5000)</f>
      </c>
      <c r="C22" s="0">
        <f>SUMPRODUCT(((DoublesMatches!$D$2:$D$5000=$B$3)*(DoublesMatches!$E$2:$E$5000=$B$4)+(DoublesMatches!$D$2:$D$5000=$B$4)*(DoublesMatches!$E$2:$E$5000=$B$3))*(DoublesMatches!$C$2:$C$5000="COMPLETED")*DoublesMatches!$K$2:$K$5000)+SUMPRODUCT(((DoublesMatches!$F$2:$F$5000=$B$3)*(DoublesMatches!$G$2:$G$5000=$B$4)+(DoublesMatches!$F$2:$F$5000=$B$4)*(DoublesMatches!$G$2:$G$5000=$B$3))*(DoublesMatches!$C$2:$C$5000="COMPLETED")*DoublesMatches!$J$2:$J$5000)</f>
      </c>
    </row>
    <row r="23">
      <c r="A23" t="s" s="0">
        <v>340</v>
      </c>
      <c r="B23" s="0">
        <f>IFERROR(B20/B19*100,0)</f>
      </c>
    </row>
  </sheetData>
  <dataValidations count="1">
    <dataValidation type="list" sqref="B3:B4" allowBlank="true" errorStyle="stop" showErrorMessage="true">
      <formula1>Players!$A$2:$A$25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2026-09-21T14:11:37Z</dcterms:created>
  <dc:creator>Apache POI</dc:creator>
</cp:coreProperties>
</file>